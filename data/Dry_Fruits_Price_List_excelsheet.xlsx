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List" sheetId="1" state="visible" r:id="rId3"/>
    <sheet name="Sheet" sheetId="2" state="visible" r:id="rId4"/>
    <sheet name="All Products (Filterable)" sheetId="3" state="visible" r:id="rId5"/>
    <sheet name="Categor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<sst xmlns="http://schemas.openxmlformats.org/spreadsheetml/2006/main" count="316" uniqueCount="120">
  <si>
    <t xml:space="preserve">PRODUCT PRICE LIST</t>
  </si>
  <si>
    <t xml:space="preserve">All prices in INR. 500 g = half of 1 Kg rate, 250 g = one-fourth — each rounded so the last two digits are 99.</t>
  </si>
  <si>
    <t xml:space="preserve">S. No.</t>
  </si>
  <si>
    <t xml:space="preserve">Product</t>
  </si>
  <si>
    <t xml:space="preserve">Price per 1 Kg (₹)</t>
  </si>
  <si>
    <t xml:space="preserve">Price per 500 g (₹)</t>
  </si>
  <si>
    <t xml:space="preserve">Price per 250 g (₹)</t>
  </si>
  <si>
    <t xml:space="preserve">Cashew (Kaju)</t>
  </si>
  <si>
    <t xml:space="preserve">Kaju 320 N</t>
  </si>
  <si>
    <t xml:space="preserve">Kaju 240 N</t>
  </si>
  <si>
    <t xml:space="preserve">Kaju 210 N</t>
  </si>
  <si>
    <t xml:space="preserve">Kaju 180 N</t>
  </si>
  <si>
    <t xml:space="preserve">Kaju Roasted</t>
  </si>
  <si>
    <t xml:space="preserve">Kaju Fry Salted</t>
  </si>
  <si>
    <t xml:space="preserve">Kaju Masala</t>
  </si>
  <si>
    <t xml:space="preserve">Almonds (Badam)</t>
  </si>
  <si>
    <t xml:space="preserve">Badam CF</t>
  </si>
  <si>
    <t xml:space="preserve">Badam AS</t>
  </si>
  <si>
    <t xml:space="preserve">Badam Roasted</t>
  </si>
  <si>
    <t xml:space="preserve">Mamra Almonds (Irani)</t>
  </si>
  <si>
    <t xml:space="preserve">Irani Mamra Small</t>
  </si>
  <si>
    <t xml:space="preserve">Irani Mamra Medium</t>
  </si>
  <si>
    <t xml:space="preserve">Irani Mamra Jumbo</t>
  </si>
  <si>
    <t xml:space="preserve">Pistachio (Pista)</t>
  </si>
  <si>
    <t xml:space="preserve">Pista</t>
  </si>
  <si>
    <t xml:space="preserve">Pista Irani</t>
  </si>
  <si>
    <t xml:space="preserve">Green Pista</t>
  </si>
  <si>
    <t xml:space="preserve">Pista Green Barik</t>
  </si>
  <si>
    <t xml:space="preserve">Raisins (Kishmish &amp; Munakka)</t>
  </si>
  <si>
    <t xml:space="preserve">Kishmish Indian</t>
  </si>
  <si>
    <t xml:space="preserve">Kishmish Kandhari</t>
  </si>
  <si>
    <t xml:space="preserve">Kishmish Indian Long</t>
  </si>
  <si>
    <t xml:space="preserve">Black Kishmish</t>
  </si>
  <si>
    <t xml:space="preserve">Munakka Basic</t>
  </si>
  <si>
    <t xml:space="preserve">Munakka Premium</t>
  </si>
  <si>
    <t xml:space="preserve">Figs (Anjeer)</t>
  </si>
  <si>
    <t xml:space="preserve">Anjeer Small</t>
  </si>
  <si>
    <t xml:space="preserve">Anjeer Medium</t>
  </si>
  <si>
    <t xml:space="preserve">Anjeer Jumbo</t>
  </si>
  <si>
    <t xml:space="preserve">Walnuts (Akhrot)</t>
  </si>
  <si>
    <t xml:space="preserve">Walnut Basic</t>
  </si>
  <si>
    <t xml:space="preserve">Walnut Premium</t>
  </si>
  <si>
    <t xml:space="preserve">Walnut In Shell</t>
  </si>
  <si>
    <t xml:space="preserve">Pine Nuts (Chilgoza)</t>
  </si>
  <si>
    <t xml:space="preserve">Pine Nuts (Chilgoza Giri)</t>
  </si>
  <si>
    <t xml:space="preserve">Pine Nut (Chilgoza In-shell)</t>
  </si>
  <si>
    <t xml:space="preserve">Exotic &amp; Mixed Nuts</t>
  </si>
  <si>
    <t xml:space="preserve">Mix Nuts</t>
  </si>
  <si>
    <t xml:space="preserve">Brazil Nuts</t>
  </si>
  <si>
    <t xml:space="preserve">Hazel Nut</t>
  </si>
  <si>
    <t xml:space="preserve">Pecan Nut</t>
  </si>
  <si>
    <t xml:space="preserve">Macadamia Nut</t>
  </si>
  <si>
    <t xml:space="preserve">Makhana</t>
  </si>
  <si>
    <t xml:space="preserve">Dates &amp; Apricot</t>
  </si>
  <si>
    <t xml:space="preserve">Medjoul Dates</t>
  </si>
  <si>
    <t xml:space="preserve">Khubani (Apricot)</t>
  </si>
  <si>
    <t xml:space="preserve">Seeds</t>
  </si>
  <si>
    <t xml:space="preserve">Mix Seeds</t>
  </si>
  <si>
    <t xml:space="preserve">Sunflower Seeds</t>
  </si>
  <si>
    <t xml:space="preserve">Melon Seeds</t>
  </si>
  <si>
    <t xml:space="preserve">Kharbuja Giri</t>
  </si>
  <si>
    <t xml:space="preserve">Chia Seeds</t>
  </si>
  <si>
    <t xml:space="preserve">Flax Seeds</t>
  </si>
  <si>
    <t xml:space="preserve">White Til</t>
  </si>
  <si>
    <t xml:space="preserve">Sabza Seeds</t>
  </si>
  <si>
    <t xml:space="preserve">Pumpkin Seeds</t>
  </si>
  <si>
    <t xml:space="preserve">Khus-Khus</t>
  </si>
  <si>
    <t xml:space="preserve">Cardamom (Elaichi)</t>
  </si>
  <si>
    <t xml:space="preserve">Silver Cardamom</t>
  </si>
  <si>
    <t xml:space="preserve">Green Cardamom</t>
  </si>
  <si>
    <t xml:space="preserve">Mishri</t>
  </si>
  <si>
    <t xml:space="preserve">Mishri Dhaga</t>
  </si>
  <si>
    <t xml:space="preserve">Mishri Crystal</t>
  </si>
  <si>
    <t xml:space="preserve">Kesar Mishri</t>
  </si>
  <si>
    <t xml:space="preserve">Silver Mishri</t>
  </si>
  <si>
    <t xml:space="preserve">Gaund / Gum</t>
  </si>
  <si>
    <t xml:space="preserve">Jalebi Gaund</t>
  </si>
  <si>
    <t xml:space="preserve">Gaund Katira</t>
  </si>
  <si>
    <t xml:space="preserve">Murabba</t>
  </si>
  <si>
    <t xml:space="preserve">Amla Murabba</t>
  </si>
  <si>
    <t xml:space="preserve">Apple Murabba</t>
  </si>
  <si>
    <t xml:space="preserve">Harad Ka Murabba</t>
  </si>
  <si>
    <t xml:space="preserve">Dried Fruits</t>
  </si>
  <si>
    <t xml:space="preserve">Mix Fruits</t>
  </si>
  <si>
    <t xml:space="preserve">Mango</t>
  </si>
  <si>
    <t xml:space="preserve">Kiwi</t>
  </si>
  <si>
    <t xml:space="preserve">Pineapple</t>
  </si>
  <si>
    <t xml:space="preserve">Apple</t>
  </si>
  <si>
    <t xml:space="preserve">Berries</t>
  </si>
  <si>
    <t xml:space="preserve">Cranberries</t>
  </si>
  <si>
    <t xml:space="preserve">Blue Berry</t>
  </si>
  <si>
    <t xml:space="preserve">Mix Berrys</t>
  </si>
  <si>
    <t xml:space="preserve">Golden Berry</t>
  </si>
  <si>
    <t xml:space="preserve">Cherry</t>
  </si>
  <si>
    <t xml:space="preserve">Namkeen, Chips &amp; Snacks</t>
  </si>
  <si>
    <t xml:space="preserve">Roasted Namkeen</t>
  </si>
  <si>
    <t xml:space="preserve">Mix Fruits Chips</t>
  </si>
  <si>
    <t xml:space="preserve">Soya Sticks</t>
  </si>
  <si>
    <t xml:space="preserve">Beetroot Chips</t>
  </si>
  <si>
    <t xml:space="preserve">Jawar Puff</t>
  </si>
  <si>
    <t xml:space="preserve">Corn Chips</t>
  </si>
  <si>
    <t xml:space="preserve">Quinoa Fingers</t>
  </si>
  <si>
    <t xml:space="preserve">Broccoli Chips</t>
  </si>
  <si>
    <t xml:space="preserve">Mix Veg Chips</t>
  </si>
  <si>
    <t xml:space="preserve">Nachos</t>
  </si>
  <si>
    <t xml:space="preserve">Millets Bhujia</t>
  </si>
  <si>
    <t xml:space="preserve">Millets Namkeen</t>
  </si>
  <si>
    <t xml:space="preserve">Mouth Fresheners</t>
  </si>
  <si>
    <t xml:space="preserve">Sweet Saunf</t>
  </si>
  <si>
    <t xml:space="preserve">Paan Mix Saunf</t>
  </si>
  <si>
    <t xml:space="preserve">Mango Candy</t>
  </si>
  <si>
    <t xml:space="preserve">Total Products</t>
  </si>
  <si>
    <t xml:space="preserve">Category</t>
  </si>
  <si>
    <t xml:space="preserve">Printed Price (₹/Kg)</t>
  </si>
  <si>
    <t xml:space="preserve">Blue figures = printed supplier rate (source: supplier price sheet photos). All other prices are formulas: value rounded so the last two digits are 99 (500 g = half of 1 Kg, 250 g = one-fourth of 1 Kg).</t>
  </si>
  <si>
    <t xml:space="preserve">No. of Products</t>
  </si>
  <si>
    <t xml:space="preserve">Lowest 1 Kg Rate (₹)</t>
  </si>
  <si>
    <t xml:space="preserve">Highest 1 Kg Rate (₹)</t>
  </si>
  <si>
    <t xml:space="preserve">Average 1 Kg Rate (₹)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</si>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</sst>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Prices" displayName="ProductPrices" ref="A1:F86" headerRowCount="1" totalsRowCount="0" totalsRowShown="0">
  <autoFilter ref="A1:F86"/>
  <tableColumns count="6">
    <tableColumn id="1" name="Category"/>
    <tableColumn id="2" name="Product"/>
    <tableColumn id="3" name="Printed Price (₹/Kg)"/>
    <tableColumn id="4" name="Price per 1 Kg (₹)"/>
    <tableColumn id="5" name="Price per 500 g (₹)"/>
    <tableColumn id="6" name="Price per 250 g (₹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5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9.5" hidden="false" customHeight="tru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n">
        <v>1</v>
      </c>
      <c r="B6" s="6" t="s">
        <v>8</v>
      </c>
      <c r="C6" s="7" t="n">
        <f aca="false">'All Products (Filterable)'!D2</f>
        <v>1899</v>
      </c>
      <c r="D6" s="7" t="n">
        <f aca="false">'All Products (Filterable)'!E2</f>
        <v>999</v>
      </c>
      <c r="E6" s="7" t="n">
        <f aca="false">'All Products (Filterable)'!F2</f>
        <v>499</v>
      </c>
    </row>
    <row r="7" customFormat="false" ht="15" hidden="false" customHeight="false" outlineLevel="0" collapsed="false">
      <c r="A7" s="5" t="n">
        <v>2</v>
      </c>
      <c r="B7" s="6" t="s">
        <v>9</v>
      </c>
      <c r="C7" s="7" t="n">
        <f aca="false">'All Products (Filterable)'!D3</f>
        <v>2199</v>
      </c>
      <c r="D7" s="7" t="n">
        <f aca="false">'All Products (Filterable)'!E3</f>
        <v>1099</v>
      </c>
      <c r="E7" s="7" t="n">
        <f aca="false">'All Products (Filterable)'!F3</f>
        <v>599</v>
      </c>
    </row>
    <row r="8" customFormat="false" ht="15" hidden="false" customHeight="false" outlineLevel="0" collapsed="false">
      <c r="A8" s="5" t="n">
        <v>3</v>
      </c>
      <c r="B8" s="6" t="s">
        <v>10</v>
      </c>
      <c r="C8" s="7" t="n">
        <f aca="false">'All Products (Filterable)'!D4</f>
        <v>2499</v>
      </c>
      <c r="D8" s="7" t="n">
        <f aca="false">'All Products (Filterable)'!E4</f>
        <v>1299</v>
      </c>
      <c r="E8" s="7" t="n">
        <f aca="false">'All Products (Filterable)'!F4</f>
        <v>699</v>
      </c>
    </row>
    <row r="9" customFormat="false" ht="15" hidden="false" customHeight="false" outlineLevel="0" collapsed="false">
      <c r="A9" s="5" t="n">
        <v>4</v>
      </c>
      <c r="B9" s="6" t="s">
        <v>11</v>
      </c>
      <c r="C9" s="7" t="n">
        <f aca="false">'All Products (Filterable)'!D5</f>
        <v>2699</v>
      </c>
      <c r="D9" s="7" t="n">
        <f aca="false">'All Products (Filterable)'!E5</f>
        <v>1399</v>
      </c>
      <c r="E9" s="7" t="n">
        <f aca="false">'All Products (Filterable)'!F5</f>
        <v>699</v>
      </c>
    </row>
    <row r="10" customFormat="false" ht="15" hidden="false" customHeight="false" outlineLevel="0" collapsed="false">
      <c r="A10" s="5" t="n">
        <v>5</v>
      </c>
      <c r="B10" s="6" t="s">
        <v>12</v>
      </c>
      <c r="C10" s="7" t="n">
        <f aca="false">'All Products (Filterable)'!D6</f>
        <v>2199</v>
      </c>
      <c r="D10" s="7" t="n">
        <f aca="false">'All Products (Filterable)'!E6</f>
        <v>1099</v>
      </c>
      <c r="E10" s="7" t="n">
        <f aca="false">'All Products (Filterable)'!F6</f>
        <v>599</v>
      </c>
    </row>
    <row r="11" customFormat="false" ht="15" hidden="false" customHeight="false" outlineLevel="0" collapsed="false">
      <c r="A11" s="5" t="n">
        <v>6</v>
      </c>
      <c r="B11" s="6" t="s">
        <v>13</v>
      </c>
      <c r="C11" s="7" t="n">
        <f aca="false">'All Products (Filterable)'!D7</f>
        <v>2199</v>
      </c>
      <c r="D11" s="7" t="n">
        <f aca="false">'All Products (Filterable)'!E7</f>
        <v>1099</v>
      </c>
      <c r="E11" s="7" t="n">
        <f aca="false">'All Products (Filterable)'!F7</f>
        <v>599</v>
      </c>
    </row>
    <row r="12" customFormat="false" ht="15" hidden="false" customHeight="false" outlineLevel="0" collapsed="false">
      <c r="A12" s="5" t="n">
        <v>7</v>
      </c>
      <c r="B12" s="6" t="s">
        <v>14</v>
      </c>
      <c r="C12" s="7" t="n">
        <f aca="false">'All Products (Filterable)'!D8</f>
        <v>2199</v>
      </c>
      <c r="D12" s="7" t="n">
        <f aca="false">'All Products (Filterable)'!E8</f>
        <v>1099</v>
      </c>
      <c r="E12" s="7" t="n">
        <f aca="false">'All Products (Filterable)'!F8</f>
        <v>599</v>
      </c>
    </row>
    <row r="13" customFormat="false" ht="19.5" hidden="false" customHeight="true" outlineLevel="0" collapsed="false">
      <c r="A13" s="4" t="s">
        <v>15</v>
      </c>
      <c r="B13" s="4"/>
      <c r="C13" s="4"/>
      <c r="D13" s="4"/>
      <c r="E13" s="4"/>
    </row>
    <row r="14" customFormat="false" ht="15" hidden="false" customHeight="false" outlineLevel="0" collapsed="false">
      <c r="A14" s="5" t="n">
        <v>8</v>
      </c>
      <c r="B14" s="6" t="s">
        <v>16</v>
      </c>
      <c r="C14" s="7" t="n">
        <f aca="false">'All Products (Filterable)'!D9</f>
        <v>1599</v>
      </c>
      <c r="D14" s="7" t="n">
        <f aca="false">'All Products (Filterable)'!E9</f>
        <v>799</v>
      </c>
      <c r="E14" s="7" t="n">
        <f aca="false">'All Products (Filterable)'!F9</f>
        <v>399</v>
      </c>
    </row>
    <row r="15" customFormat="false" ht="15" hidden="false" customHeight="false" outlineLevel="0" collapsed="false">
      <c r="A15" s="5" t="n">
        <v>9</v>
      </c>
      <c r="B15" s="6" t="s">
        <v>17</v>
      </c>
      <c r="C15" s="7" t="n">
        <f aca="false">'All Products (Filterable)'!D10</f>
        <v>2499</v>
      </c>
      <c r="D15" s="7" t="n">
        <f aca="false">'All Products (Filterable)'!E10</f>
        <v>1299</v>
      </c>
      <c r="E15" s="7" t="n">
        <f aca="false">'All Products (Filterable)'!F10</f>
        <v>699</v>
      </c>
    </row>
    <row r="16" customFormat="false" ht="15" hidden="false" customHeight="false" outlineLevel="0" collapsed="false">
      <c r="A16" s="5" t="n">
        <v>10</v>
      </c>
      <c r="B16" s="6" t="s">
        <v>18</v>
      </c>
      <c r="C16" s="7" t="n">
        <f aca="false">'All Products (Filterable)'!D11</f>
        <v>2199</v>
      </c>
      <c r="D16" s="7" t="n">
        <f aca="false">'All Products (Filterable)'!E11</f>
        <v>1099</v>
      </c>
      <c r="E16" s="7" t="n">
        <f aca="false">'All Products (Filterable)'!F11</f>
        <v>599</v>
      </c>
    </row>
    <row r="17" customFormat="false" ht="19.5" hidden="false" customHeight="true" outlineLevel="0" collapsed="false">
      <c r="A17" s="4" t="s">
        <v>19</v>
      </c>
      <c r="B17" s="4"/>
      <c r="C17" s="4"/>
      <c r="D17" s="4"/>
      <c r="E17" s="4"/>
    </row>
    <row r="18" customFormat="false" ht="15" hidden="false" customHeight="false" outlineLevel="0" collapsed="false">
      <c r="A18" s="5" t="n">
        <v>11</v>
      </c>
      <c r="B18" s="6" t="s">
        <v>20</v>
      </c>
      <c r="C18" s="7" t="n">
        <f aca="false">'All Products (Filterable)'!D12</f>
        <v>5999</v>
      </c>
      <c r="D18" s="7" t="n">
        <f aca="false">'All Products (Filterable)'!E12</f>
        <v>2999</v>
      </c>
      <c r="E18" s="7" t="n">
        <f aca="false">'All Products (Filterable)'!F12</f>
        <v>1499</v>
      </c>
    </row>
    <row r="19" customFormat="false" ht="15" hidden="false" customHeight="false" outlineLevel="0" collapsed="false">
      <c r="A19" s="5" t="n">
        <v>12</v>
      </c>
      <c r="B19" s="6" t="s">
        <v>21</v>
      </c>
      <c r="C19" s="7" t="n">
        <f aca="false">'All Products (Filterable)'!D13</f>
        <v>6599</v>
      </c>
      <c r="D19" s="7" t="n">
        <f aca="false">'All Products (Filterable)'!E13</f>
        <v>3299</v>
      </c>
      <c r="E19" s="7" t="n">
        <f aca="false">'All Products (Filterable)'!F13</f>
        <v>1699</v>
      </c>
    </row>
    <row r="20" customFormat="false" ht="15" hidden="false" customHeight="false" outlineLevel="0" collapsed="false">
      <c r="A20" s="5" t="n">
        <v>13</v>
      </c>
      <c r="B20" s="6" t="s">
        <v>22</v>
      </c>
      <c r="C20" s="7" t="n">
        <f aca="false">'All Products (Filterable)'!D14</f>
        <v>7999</v>
      </c>
      <c r="D20" s="7" t="n">
        <f aca="false">'All Products (Filterable)'!E14</f>
        <v>3999</v>
      </c>
      <c r="E20" s="7" t="n">
        <f aca="false">'All Products (Filterable)'!F14</f>
        <v>1999</v>
      </c>
    </row>
    <row r="21" customFormat="false" ht="19.5" hidden="false" customHeight="true" outlineLevel="0" collapsed="false">
      <c r="A21" s="4" t="s">
        <v>23</v>
      </c>
      <c r="B21" s="4"/>
      <c r="C21" s="4"/>
      <c r="D21" s="4"/>
      <c r="E21" s="4"/>
    </row>
    <row r="22" customFormat="false" ht="15" hidden="false" customHeight="false" outlineLevel="0" collapsed="false">
      <c r="A22" s="5" t="n">
        <v>14</v>
      </c>
      <c r="B22" s="6" t="s">
        <v>24</v>
      </c>
      <c r="C22" s="7" t="n">
        <f aca="false">'All Products (Filterable)'!D15</f>
        <v>2199</v>
      </c>
      <c r="D22" s="7" t="n">
        <f aca="false">'All Products (Filterable)'!E15</f>
        <v>1099</v>
      </c>
      <c r="E22" s="7" t="n">
        <f aca="false">'All Products (Filterable)'!F15</f>
        <v>599</v>
      </c>
    </row>
    <row r="23" customFormat="false" ht="15" hidden="false" customHeight="false" outlineLevel="0" collapsed="false">
      <c r="A23" s="5" t="n">
        <v>15</v>
      </c>
      <c r="B23" s="6" t="s">
        <v>25</v>
      </c>
      <c r="C23" s="7" t="n">
        <f aca="false">'All Products (Filterable)'!D16</f>
        <v>2499</v>
      </c>
      <c r="D23" s="7" t="n">
        <f aca="false">'All Products (Filterable)'!E16</f>
        <v>1299</v>
      </c>
      <c r="E23" s="7" t="n">
        <f aca="false">'All Products (Filterable)'!F16</f>
        <v>699</v>
      </c>
    </row>
    <row r="24" customFormat="false" ht="15" hidden="false" customHeight="false" outlineLevel="0" collapsed="false">
      <c r="A24" s="5" t="n">
        <v>16</v>
      </c>
      <c r="B24" s="6" t="s">
        <v>26</v>
      </c>
      <c r="C24" s="7" t="n">
        <f aca="false">'All Products (Filterable)'!D17</f>
        <v>4299</v>
      </c>
      <c r="D24" s="7" t="n">
        <f aca="false">'All Products (Filterable)'!E17</f>
        <v>2199</v>
      </c>
      <c r="E24" s="7" t="n">
        <f aca="false">'All Products (Filterable)'!F17</f>
        <v>1099</v>
      </c>
    </row>
    <row r="25" customFormat="false" ht="15" hidden="false" customHeight="false" outlineLevel="0" collapsed="false">
      <c r="A25" s="5" t="n">
        <v>17</v>
      </c>
      <c r="B25" s="6" t="s">
        <v>27</v>
      </c>
      <c r="C25" s="7" t="n">
        <f aca="false">'All Products (Filterable)'!D18</f>
        <v>4899</v>
      </c>
      <c r="D25" s="7" t="n">
        <f aca="false">'All Products (Filterable)'!E18</f>
        <v>2499</v>
      </c>
      <c r="E25" s="7" t="n">
        <f aca="false">'All Products (Filterable)'!F18</f>
        <v>1299</v>
      </c>
    </row>
    <row r="26" customFormat="false" ht="19.5" hidden="false" customHeight="true" outlineLevel="0" collapsed="false">
      <c r="A26" s="4" t="s">
        <v>28</v>
      </c>
      <c r="B26" s="4"/>
      <c r="C26" s="4"/>
      <c r="D26" s="4"/>
      <c r="E26" s="4"/>
    </row>
    <row r="27" customFormat="false" ht="15" hidden="false" customHeight="false" outlineLevel="0" collapsed="false">
      <c r="A27" s="5" t="n">
        <v>18</v>
      </c>
      <c r="B27" s="6" t="s">
        <v>29</v>
      </c>
      <c r="C27" s="7" t="n">
        <f aca="false">'All Products (Filterable)'!D19</f>
        <v>1199</v>
      </c>
      <c r="D27" s="7" t="n">
        <f aca="false">'All Products (Filterable)'!E19</f>
        <v>599</v>
      </c>
      <c r="E27" s="7" t="n">
        <f aca="false">'All Products (Filterable)'!F19</f>
        <v>299</v>
      </c>
    </row>
    <row r="28" customFormat="false" ht="15" hidden="false" customHeight="false" outlineLevel="0" collapsed="false">
      <c r="A28" s="5" t="n">
        <v>19</v>
      </c>
      <c r="B28" s="6" t="s">
        <v>30</v>
      </c>
      <c r="C28" s="7" t="n">
        <f aca="false">'All Products (Filterable)'!D20</f>
        <v>2699</v>
      </c>
      <c r="D28" s="7" t="n">
        <f aca="false">'All Products (Filterable)'!E20</f>
        <v>1399</v>
      </c>
      <c r="E28" s="7" t="n">
        <f aca="false">'All Products (Filterable)'!F20</f>
        <v>699</v>
      </c>
    </row>
    <row r="29" customFormat="false" ht="15" hidden="false" customHeight="false" outlineLevel="0" collapsed="false">
      <c r="A29" s="5" t="n">
        <v>20</v>
      </c>
      <c r="B29" s="6" t="s">
        <v>31</v>
      </c>
      <c r="C29" s="7" t="n">
        <f aca="false">'All Products (Filterable)'!D21</f>
        <v>1599</v>
      </c>
      <c r="D29" s="7" t="n">
        <f aca="false">'All Products (Filterable)'!E21</f>
        <v>799</v>
      </c>
      <c r="E29" s="7" t="n">
        <f aca="false">'All Products (Filterable)'!F21</f>
        <v>399</v>
      </c>
    </row>
    <row r="30" customFormat="false" ht="15" hidden="false" customHeight="false" outlineLevel="0" collapsed="false">
      <c r="A30" s="5" t="n">
        <v>21</v>
      </c>
      <c r="B30" s="6" t="s">
        <v>32</v>
      </c>
      <c r="C30" s="7" t="n">
        <f aca="false">'All Products (Filterable)'!D22</f>
        <v>1399</v>
      </c>
      <c r="D30" s="7" t="n">
        <f aca="false">'All Products (Filterable)'!E22</f>
        <v>699</v>
      </c>
      <c r="E30" s="7" t="n">
        <f aca="false">'All Products (Filterable)'!F22</f>
        <v>399</v>
      </c>
    </row>
    <row r="31" customFormat="false" ht="15" hidden="false" customHeight="false" outlineLevel="0" collapsed="false">
      <c r="A31" s="5" t="n">
        <v>22</v>
      </c>
      <c r="B31" s="6" t="s">
        <v>33</v>
      </c>
      <c r="C31" s="7" t="n">
        <f aca="false">'All Products (Filterable)'!D23</f>
        <v>1599</v>
      </c>
      <c r="D31" s="7" t="n">
        <f aca="false">'All Products (Filterable)'!E23</f>
        <v>799</v>
      </c>
      <c r="E31" s="7" t="n">
        <f aca="false">'All Products (Filterable)'!F23</f>
        <v>399</v>
      </c>
    </row>
    <row r="32" customFormat="false" ht="15" hidden="false" customHeight="false" outlineLevel="0" collapsed="false">
      <c r="A32" s="5" t="n">
        <v>23</v>
      </c>
      <c r="B32" s="6" t="s">
        <v>34</v>
      </c>
      <c r="C32" s="7" t="n">
        <f aca="false">'All Products (Filterable)'!D24</f>
        <v>2499</v>
      </c>
      <c r="D32" s="7" t="n">
        <f aca="false">'All Products (Filterable)'!E24</f>
        <v>1299</v>
      </c>
      <c r="E32" s="7" t="n">
        <f aca="false">'All Products (Filterable)'!F24</f>
        <v>699</v>
      </c>
    </row>
    <row r="33" customFormat="false" ht="19.5" hidden="false" customHeight="true" outlineLevel="0" collapsed="false">
      <c r="A33" s="4" t="s">
        <v>35</v>
      </c>
      <c r="B33" s="4"/>
      <c r="C33" s="4"/>
      <c r="D33" s="4"/>
      <c r="E33" s="4"/>
    </row>
    <row r="34" customFormat="false" ht="15" hidden="false" customHeight="false" outlineLevel="0" collapsed="false">
      <c r="A34" s="5" t="n">
        <v>24</v>
      </c>
      <c r="B34" s="6" t="s">
        <v>36</v>
      </c>
      <c r="C34" s="7" t="n">
        <f aca="false">'All Products (Filterable)'!D25</f>
        <v>2699</v>
      </c>
      <c r="D34" s="7" t="n">
        <f aca="false">'All Products (Filterable)'!E25</f>
        <v>1399</v>
      </c>
      <c r="E34" s="7" t="n">
        <f aca="false">'All Products (Filterable)'!F25</f>
        <v>699</v>
      </c>
    </row>
    <row r="35" customFormat="false" ht="15" hidden="false" customHeight="false" outlineLevel="0" collapsed="false">
      <c r="A35" s="5" t="n">
        <v>25</v>
      </c>
      <c r="B35" s="6" t="s">
        <v>37</v>
      </c>
      <c r="C35" s="7" t="n">
        <f aca="false">'All Products (Filterable)'!D26</f>
        <v>3199</v>
      </c>
      <c r="D35" s="7" t="n">
        <f aca="false">'All Products (Filterable)'!E26</f>
        <v>1599</v>
      </c>
      <c r="E35" s="7" t="n">
        <f aca="false">'All Products (Filterable)'!F26</f>
        <v>799</v>
      </c>
    </row>
    <row r="36" customFormat="false" ht="15" hidden="false" customHeight="false" outlineLevel="0" collapsed="false">
      <c r="A36" s="5" t="n">
        <v>26</v>
      </c>
      <c r="B36" s="6" t="s">
        <v>38</v>
      </c>
      <c r="C36" s="7" t="n">
        <f aca="false">'All Products (Filterable)'!D27</f>
        <v>4599</v>
      </c>
      <c r="D36" s="7" t="n">
        <f aca="false">'All Products (Filterable)'!E27</f>
        <v>2299</v>
      </c>
      <c r="E36" s="7" t="n">
        <f aca="false">'All Products (Filterable)'!F27</f>
        <v>1199</v>
      </c>
    </row>
    <row r="37" customFormat="false" ht="19.5" hidden="false" customHeight="true" outlineLevel="0" collapsed="false">
      <c r="A37" s="4" t="s">
        <v>39</v>
      </c>
      <c r="B37" s="4"/>
      <c r="C37" s="4"/>
      <c r="D37" s="4"/>
      <c r="E37" s="4"/>
    </row>
    <row r="38" customFormat="false" ht="15" hidden="false" customHeight="false" outlineLevel="0" collapsed="false">
      <c r="A38" s="5" t="n">
        <v>27</v>
      </c>
      <c r="B38" s="6" t="s">
        <v>40</v>
      </c>
      <c r="C38" s="7" t="n">
        <f aca="false">'All Products (Filterable)'!D28</f>
        <v>2499</v>
      </c>
      <c r="D38" s="7" t="n">
        <f aca="false">'All Products (Filterable)'!E28</f>
        <v>1299</v>
      </c>
      <c r="E38" s="7" t="n">
        <f aca="false">'All Products (Filterable)'!F28</f>
        <v>699</v>
      </c>
    </row>
    <row r="39" customFormat="false" ht="15" hidden="false" customHeight="false" outlineLevel="0" collapsed="false">
      <c r="A39" s="5" t="n">
        <v>28</v>
      </c>
      <c r="B39" s="6" t="s">
        <v>41</v>
      </c>
      <c r="C39" s="7" t="n">
        <f aca="false">'All Products (Filterable)'!D29</f>
        <v>3999</v>
      </c>
      <c r="D39" s="7" t="n">
        <f aca="false">'All Products (Filterable)'!E29</f>
        <v>1999</v>
      </c>
      <c r="E39" s="7" t="n">
        <f aca="false">'All Products (Filterable)'!F29</f>
        <v>999</v>
      </c>
    </row>
    <row r="40" customFormat="false" ht="15" hidden="false" customHeight="false" outlineLevel="0" collapsed="false">
      <c r="A40" s="5" t="n">
        <v>29</v>
      </c>
      <c r="B40" s="6" t="s">
        <v>42</v>
      </c>
      <c r="C40" s="7" t="n">
        <f aca="false">'All Products (Filterable)'!D30</f>
        <v>1899</v>
      </c>
      <c r="D40" s="7" t="n">
        <f aca="false">'All Products (Filterable)'!E30</f>
        <v>999</v>
      </c>
      <c r="E40" s="7" t="n">
        <f aca="false">'All Products (Filterable)'!F30</f>
        <v>499</v>
      </c>
    </row>
    <row r="41" customFormat="false" ht="19.5" hidden="false" customHeight="true" outlineLevel="0" collapsed="false">
      <c r="A41" s="4" t="s">
        <v>43</v>
      </c>
      <c r="B41" s="4"/>
      <c r="C41" s="4"/>
      <c r="D41" s="4"/>
      <c r="E41" s="4"/>
    </row>
    <row r="42" customFormat="false" ht="15" hidden="false" customHeight="false" outlineLevel="0" collapsed="false">
      <c r="A42" s="5" t="n">
        <v>30</v>
      </c>
      <c r="B42" s="6" t="s">
        <v>44</v>
      </c>
      <c r="C42" s="7" t="n">
        <f aca="false">'All Products (Filterable)'!D31</f>
        <v>10599</v>
      </c>
      <c r="D42" s="7" t="n">
        <f aca="false">'All Products (Filterable)'!E31</f>
        <v>5299</v>
      </c>
      <c r="E42" s="7" t="n">
        <f aca="false">'All Products (Filterable)'!F31</f>
        <v>2699</v>
      </c>
    </row>
    <row r="43" customFormat="false" ht="15" hidden="false" customHeight="false" outlineLevel="0" collapsed="false">
      <c r="A43" s="5" t="n">
        <v>31</v>
      </c>
      <c r="B43" s="6" t="s">
        <v>45</v>
      </c>
      <c r="C43" s="7" t="n">
        <f aca="false">'All Products (Filterable)'!D32</f>
        <v>8499</v>
      </c>
      <c r="D43" s="7" t="n">
        <f aca="false">'All Products (Filterable)'!E32</f>
        <v>4299</v>
      </c>
      <c r="E43" s="7" t="n">
        <f aca="false">'All Products (Filterable)'!F32</f>
        <v>2199</v>
      </c>
    </row>
    <row r="44" customFormat="false" ht="19.5" hidden="false" customHeight="true" outlineLevel="0" collapsed="false">
      <c r="A44" s="4" t="s">
        <v>46</v>
      </c>
      <c r="B44" s="4"/>
      <c r="C44" s="4"/>
      <c r="D44" s="4"/>
      <c r="E44" s="4"/>
    </row>
    <row r="45" customFormat="false" ht="15" hidden="false" customHeight="false" outlineLevel="0" collapsed="false">
      <c r="A45" s="5" t="n">
        <v>32</v>
      </c>
      <c r="B45" s="6" t="s">
        <v>47</v>
      </c>
      <c r="C45" s="7" t="n">
        <f aca="false">'All Products (Filterable)'!D33</f>
        <v>2199</v>
      </c>
      <c r="D45" s="7" t="n">
        <f aca="false">'All Products (Filterable)'!E33</f>
        <v>1099</v>
      </c>
      <c r="E45" s="7" t="n">
        <f aca="false">'All Products (Filterable)'!F33</f>
        <v>599</v>
      </c>
    </row>
    <row r="46" customFormat="false" ht="15" hidden="false" customHeight="false" outlineLevel="0" collapsed="false">
      <c r="A46" s="5" t="n">
        <v>33</v>
      </c>
      <c r="B46" s="6" t="s">
        <v>48</v>
      </c>
      <c r="C46" s="7" t="n">
        <f aca="false">'All Products (Filterable)'!D34</f>
        <v>5999</v>
      </c>
      <c r="D46" s="7" t="n">
        <f aca="false">'All Products (Filterable)'!E34</f>
        <v>2999</v>
      </c>
      <c r="E46" s="7" t="n">
        <f aca="false">'All Products (Filterable)'!F34</f>
        <v>1499</v>
      </c>
    </row>
    <row r="47" customFormat="false" ht="15" hidden="false" customHeight="false" outlineLevel="0" collapsed="false">
      <c r="A47" s="5" t="n">
        <v>34</v>
      </c>
      <c r="B47" s="6" t="s">
        <v>49</v>
      </c>
      <c r="C47" s="7" t="n">
        <f aca="false">'All Products (Filterable)'!D35</f>
        <v>4599</v>
      </c>
      <c r="D47" s="7" t="n">
        <f aca="false">'All Products (Filterable)'!E35</f>
        <v>2299</v>
      </c>
      <c r="E47" s="7" t="n">
        <f aca="false">'All Products (Filterable)'!F35</f>
        <v>1199</v>
      </c>
    </row>
    <row r="48" customFormat="false" ht="15" hidden="false" customHeight="false" outlineLevel="0" collapsed="false">
      <c r="A48" s="5" t="n">
        <v>35</v>
      </c>
      <c r="B48" s="6" t="s">
        <v>50</v>
      </c>
      <c r="C48" s="7" t="n">
        <f aca="false">'All Products (Filterable)'!D36</f>
        <v>4599</v>
      </c>
      <c r="D48" s="7" t="n">
        <f aca="false">'All Products (Filterable)'!E36</f>
        <v>2299</v>
      </c>
      <c r="E48" s="7" t="n">
        <f aca="false">'All Products (Filterable)'!F36</f>
        <v>1199</v>
      </c>
    </row>
    <row r="49" customFormat="false" ht="15" hidden="false" customHeight="false" outlineLevel="0" collapsed="false">
      <c r="A49" s="5" t="n">
        <v>36</v>
      </c>
      <c r="B49" s="6" t="s">
        <v>51</v>
      </c>
      <c r="C49" s="7" t="n">
        <f aca="false">'All Products (Filterable)'!D37</f>
        <v>3999</v>
      </c>
      <c r="D49" s="7" t="n">
        <f aca="false">'All Products (Filterable)'!E37</f>
        <v>1999</v>
      </c>
      <c r="E49" s="7" t="n">
        <f aca="false">'All Products (Filterable)'!F37</f>
        <v>999</v>
      </c>
    </row>
    <row r="50" customFormat="false" ht="19.5" hidden="false" customHeight="true" outlineLevel="0" collapsed="false">
      <c r="A50" s="4" t="s">
        <v>52</v>
      </c>
      <c r="B50" s="4"/>
      <c r="C50" s="4"/>
      <c r="D50" s="4"/>
      <c r="E50" s="4"/>
    </row>
    <row r="51" customFormat="false" ht="15" hidden="false" customHeight="false" outlineLevel="0" collapsed="false">
      <c r="A51" s="5" t="n">
        <v>37</v>
      </c>
      <c r="B51" s="6" t="s">
        <v>52</v>
      </c>
      <c r="C51" s="7" t="n">
        <f aca="false">'All Products (Filterable)'!D38</f>
        <v>2199</v>
      </c>
      <c r="D51" s="7" t="n">
        <f aca="false">'All Products (Filterable)'!E38</f>
        <v>1099</v>
      </c>
      <c r="E51" s="7" t="n">
        <f aca="false">'All Products (Filterable)'!F38</f>
        <v>599</v>
      </c>
    </row>
    <row r="52" customFormat="false" ht="19.5" hidden="false" customHeight="true" outlineLevel="0" collapsed="false">
      <c r="A52" s="4" t="s">
        <v>53</v>
      </c>
      <c r="B52" s="4"/>
      <c r="C52" s="4"/>
      <c r="D52" s="4"/>
      <c r="E52" s="4"/>
    </row>
    <row r="53" customFormat="false" ht="15" hidden="false" customHeight="false" outlineLevel="0" collapsed="false">
      <c r="A53" s="5" t="n">
        <v>38</v>
      </c>
      <c r="B53" s="6" t="s">
        <v>54</v>
      </c>
      <c r="C53" s="7" t="n">
        <f aca="false">'All Products (Filterable)'!D39</f>
        <v>2799</v>
      </c>
      <c r="D53" s="7" t="n">
        <f aca="false">'All Products (Filterable)'!E39</f>
        <v>1399</v>
      </c>
      <c r="E53" s="7" t="n">
        <f aca="false">'All Products (Filterable)'!F39</f>
        <v>699</v>
      </c>
    </row>
    <row r="54" customFormat="false" ht="15" hidden="false" customHeight="false" outlineLevel="0" collapsed="false">
      <c r="A54" s="5" t="n">
        <v>39</v>
      </c>
      <c r="B54" s="6" t="s">
        <v>55</v>
      </c>
      <c r="C54" s="7" t="n">
        <f aca="false">'All Products (Filterable)'!D40</f>
        <v>1899</v>
      </c>
      <c r="D54" s="7" t="n">
        <f aca="false">'All Products (Filterable)'!E40</f>
        <v>999</v>
      </c>
      <c r="E54" s="7" t="n">
        <f aca="false">'All Products (Filterable)'!F40</f>
        <v>499</v>
      </c>
    </row>
    <row r="55" customFormat="false" ht="19.5" hidden="false" customHeight="true" outlineLevel="0" collapsed="false">
      <c r="A55" s="4" t="s">
        <v>56</v>
      </c>
      <c r="B55" s="4"/>
      <c r="C55" s="4"/>
      <c r="D55" s="4"/>
      <c r="E55" s="4"/>
    </row>
    <row r="56" customFormat="false" ht="15" hidden="false" customHeight="false" outlineLevel="0" collapsed="false">
      <c r="A56" s="5" t="n">
        <v>40</v>
      </c>
      <c r="B56" s="6" t="s">
        <v>57</v>
      </c>
      <c r="C56" s="7" t="n">
        <f aca="false">'All Products (Filterable)'!D41</f>
        <v>1599</v>
      </c>
      <c r="D56" s="7" t="n">
        <f aca="false">'All Products (Filterable)'!E41</f>
        <v>799</v>
      </c>
      <c r="E56" s="7" t="n">
        <f aca="false">'All Products (Filterable)'!F41</f>
        <v>399</v>
      </c>
    </row>
    <row r="57" customFormat="false" ht="15" hidden="false" customHeight="false" outlineLevel="0" collapsed="false">
      <c r="A57" s="5" t="n">
        <v>41</v>
      </c>
      <c r="B57" s="6" t="s">
        <v>58</v>
      </c>
      <c r="C57" s="7" t="n">
        <f aca="false">'All Products (Filterable)'!D42</f>
        <v>999</v>
      </c>
      <c r="D57" s="7" t="n">
        <f aca="false">'All Products (Filterable)'!E42</f>
        <v>499</v>
      </c>
      <c r="E57" s="7" t="n">
        <f aca="false">'All Products (Filterable)'!F42</f>
        <v>299</v>
      </c>
    </row>
    <row r="58" customFormat="false" ht="15" hidden="false" customHeight="false" outlineLevel="0" collapsed="false">
      <c r="A58" s="5" t="n">
        <v>42</v>
      </c>
      <c r="B58" s="6" t="s">
        <v>59</v>
      </c>
      <c r="C58" s="7" t="n">
        <f aca="false">'All Products (Filterable)'!D43</f>
        <v>1399</v>
      </c>
      <c r="D58" s="7" t="n">
        <f aca="false">'All Products (Filterable)'!E43</f>
        <v>699</v>
      </c>
      <c r="E58" s="7" t="n">
        <f aca="false">'All Products (Filterable)'!F43</f>
        <v>399</v>
      </c>
    </row>
    <row r="59" customFormat="false" ht="15" hidden="false" customHeight="false" outlineLevel="0" collapsed="false">
      <c r="A59" s="5" t="n">
        <v>43</v>
      </c>
      <c r="B59" s="6" t="s">
        <v>60</v>
      </c>
      <c r="C59" s="7" t="n">
        <f aca="false">'All Products (Filterable)'!D44</f>
        <v>1899</v>
      </c>
      <c r="D59" s="7" t="n">
        <f aca="false">'All Products (Filterable)'!E44</f>
        <v>999</v>
      </c>
      <c r="E59" s="7" t="n">
        <f aca="false">'All Products (Filterable)'!F44</f>
        <v>499</v>
      </c>
    </row>
    <row r="60" customFormat="false" ht="15" hidden="false" customHeight="false" outlineLevel="0" collapsed="false">
      <c r="A60" s="5" t="n">
        <v>44</v>
      </c>
      <c r="B60" s="6" t="s">
        <v>61</v>
      </c>
      <c r="C60" s="7" t="n">
        <f aca="false">'All Products (Filterable)'!D45</f>
        <v>1199</v>
      </c>
      <c r="D60" s="7" t="n">
        <f aca="false">'All Products (Filterable)'!E45</f>
        <v>599</v>
      </c>
      <c r="E60" s="7" t="n">
        <f aca="false">'All Products (Filterable)'!F45</f>
        <v>299</v>
      </c>
    </row>
    <row r="61" customFormat="false" ht="15" hidden="false" customHeight="false" outlineLevel="0" collapsed="false">
      <c r="A61" s="5" t="n">
        <v>45</v>
      </c>
      <c r="B61" s="6" t="s">
        <v>62</v>
      </c>
      <c r="C61" s="7" t="n">
        <f aca="false">'All Products (Filterable)'!D46</f>
        <v>799</v>
      </c>
      <c r="D61" s="7" t="n">
        <f aca="false">'All Products (Filterable)'!E46</f>
        <v>399</v>
      </c>
      <c r="E61" s="7" t="n">
        <f aca="false">'All Products (Filterable)'!F46</f>
        <v>199</v>
      </c>
    </row>
    <row r="62" customFormat="false" ht="15" hidden="false" customHeight="false" outlineLevel="0" collapsed="false">
      <c r="A62" s="5" t="n">
        <v>46</v>
      </c>
      <c r="B62" s="6" t="s">
        <v>63</v>
      </c>
      <c r="C62" s="7" t="n">
        <f aca="false">'All Products (Filterable)'!D47</f>
        <v>899</v>
      </c>
      <c r="D62" s="7" t="n">
        <f aca="false">'All Products (Filterable)'!E47</f>
        <v>499</v>
      </c>
      <c r="E62" s="7" t="n">
        <f aca="false">'All Products (Filterable)'!F47</f>
        <v>299</v>
      </c>
    </row>
    <row r="63" customFormat="false" ht="15" hidden="false" customHeight="false" outlineLevel="0" collapsed="false">
      <c r="A63" s="5" t="n">
        <v>47</v>
      </c>
      <c r="B63" s="6" t="s">
        <v>64</v>
      </c>
      <c r="C63" s="7" t="n">
        <f aca="false">'All Products (Filterable)'!D48</f>
        <v>1399</v>
      </c>
      <c r="D63" s="7" t="n">
        <f aca="false">'All Products (Filterable)'!E48</f>
        <v>699</v>
      </c>
      <c r="E63" s="7" t="n">
        <f aca="false">'All Products (Filterable)'!F48</f>
        <v>399</v>
      </c>
    </row>
    <row r="64" customFormat="false" ht="15" hidden="false" customHeight="false" outlineLevel="0" collapsed="false">
      <c r="A64" s="5" t="n">
        <v>48</v>
      </c>
      <c r="B64" s="6" t="s">
        <v>65</v>
      </c>
      <c r="C64" s="7" t="n">
        <f aca="false">'All Products (Filterable)'!D49</f>
        <v>1199</v>
      </c>
      <c r="D64" s="7" t="n">
        <f aca="false">'All Products (Filterable)'!E49</f>
        <v>599</v>
      </c>
      <c r="E64" s="7" t="n">
        <f aca="false">'All Products (Filterable)'!F49</f>
        <v>299</v>
      </c>
    </row>
    <row r="65" customFormat="false" ht="15" hidden="false" customHeight="false" outlineLevel="0" collapsed="false">
      <c r="A65" s="5" t="n">
        <v>49</v>
      </c>
      <c r="B65" s="6" t="s">
        <v>66</v>
      </c>
      <c r="C65" s="7" t="n">
        <f aca="false">'All Products (Filterable)'!D50</f>
        <v>3699</v>
      </c>
      <c r="D65" s="7" t="n">
        <f aca="false">'All Products (Filterable)'!E50</f>
        <v>1899</v>
      </c>
      <c r="E65" s="7" t="n">
        <f aca="false">'All Products (Filterable)'!F50</f>
        <v>999</v>
      </c>
    </row>
    <row r="66" customFormat="false" ht="19.5" hidden="false" customHeight="true" outlineLevel="0" collapsed="false">
      <c r="A66" s="4" t="s">
        <v>67</v>
      </c>
      <c r="B66" s="4"/>
      <c r="C66" s="4"/>
      <c r="D66" s="4"/>
      <c r="E66" s="4"/>
    </row>
    <row r="67" customFormat="false" ht="15" hidden="false" customHeight="false" outlineLevel="0" collapsed="false">
      <c r="A67" s="5" t="n">
        <v>50</v>
      </c>
      <c r="B67" s="6" t="s">
        <v>68</v>
      </c>
      <c r="C67" s="7" t="n">
        <f aca="false">'All Products (Filterable)'!D51</f>
        <v>9299</v>
      </c>
      <c r="D67" s="7" t="n">
        <f aca="false">'All Products (Filterable)'!E51</f>
        <v>4699</v>
      </c>
      <c r="E67" s="7" t="n">
        <f aca="false">'All Products (Filterable)'!F51</f>
        <v>2399</v>
      </c>
    </row>
    <row r="68" customFormat="false" ht="15" hidden="false" customHeight="false" outlineLevel="0" collapsed="false">
      <c r="A68" s="5" t="n">
        <v>51</v>
      </c>
      <c r="B68" s="6" t="s">
        <v>69</v>
      </c>
      <c r="C68" s="7" t="n">
        <f aca="false">'All Products (Filterable)'!D52</f>
        <v>8799</v>
      </c>
      <c r="D68" s="7" t="n">
        <f aca="false">'All Products (Filterable)'!E52</f>
        <v>4399</v>
      </c>
      <c r="E68" s="7" t="n">
        <f aca="false">'All Products (Filterable)'!F52</f>
        <v>2199</v>
      </c>
    </row>
    <row r="69" customFormat="false" ht="19.5" hidden="false" customHeight="true" outlineLevel="0" collapsed="false">
      <c r="A69" s="4" t="s">
        <v>70</v>
      </c>
      <c r="B69" s="4"/>
      <c r="C69" s="4"/>
      <c r="D69" s="4"/>
      <c r="E69" s="4"/>
    </row>
    <row r="70" customFormat="false" ht="15" hidden="false" customHeight="false" outlineLevel="0" collapsed="false">
      <c r="A70" s="5" t="n">
        <v>52</v>
      </c>
      <c r="B70" s="6" t="s">
        <v>71</v>
      </c>
      <c r="C70" s="7" t="n">
        <f aca="false">'All Products (Filterable)'!D53</f>
        <v>299</v>
      </c>
      <c r="D70" s="7" t="n">
        <f aca="false">'All Products (Filterable)'!E53</f>
        <v>199</v>
      </c>
      <c r="E70" s="7" t="n">
        <f aca="false">'All Products (Filterable)'!F53</f>
        <v>99</v>
      </c>
    </row>
    <row r="71" customFormat="false" ht="15" hidden="false" customHeight="false" outlineLevel="0" collapsed="false">
      <c r="A71" s="5" t="n">
        <v>53</v>
      </c>
      <c r="B71" s="6" t="s">
        <v>72</v>
      </c>
      <c r="C71" s="7" t="n">
        <f aca="false">'All Products (Filterable)'!D54</f>
        <v>1899</v>
      </c>
      <c r="D71" s="7" t="n">
        <f aca="false">'All Products (Filterable)'!E54</f>
        <v>999</v>
      </c>
      <c r="E71" s="7" t="n">
        <f aca="false">'All Products (Filterable)'!F54</f>
        <v>499</v>
      </c>
    </row>
    <row r="72" customFormat="false" ht="15" hidden="false" customHeight="false" outlineLevel="0" collapsed="false">
      <c r="A72" s="5" t="n">
        <v>54</v>
      </c>
      <c r="B72" s="6" t="s">
        <v>73</v>
      </c>
      <c r="C72" s="7" t="n">
        <f aca="false">'All Products (Filterable)'!D55</f>
        <v>1899</v>
      </c>
      <c r="D72" s="7" t="n">
        <f aca="false">'All Products (Filterable)'!E55</f>
        <v>999</v>
      </c>
      <c r="E72" s="7" t="n">
        <f aca="false">'All Products (Filterable)'!F55</f>
        <v>499</v>
      </c>
    </row>
    <row r="73" customFormat="false" ht="15" hidden="false" customHeight="false" outlineLevel="0" collapsed="false">
      <c r="A73" s="5" t="n">
        <v>55</v>
      </c>
      <c r="B73" s="6" t="s">
        <v>74</v>
      </c>
      <c r="C73" s="7" t="n">
        <f aca="false">'All Products (Filterable)'!D56</f>
        <v>1899</v>
      </c>
      <c r="D73" s="7" t="n">
        <f aca="false">'All Products (Filterable)'!E56</f>
        <v>999</v>
      </c>
      <c r="E73" s="7" t="n">
        <f aca="false">'All Products (Filterable)'!F56</f>
        <v>499</v>
      </c>
    </row>
    <row r="74" customFormat="false" ht="19.5" hidden="false" customHeight="true" outlineLevel="0" collapsed="false">
      <c r="A74" s="4" t="s">
        <v>75</v>
      </c>
      <c r="B74" s="4"/>
      <c r="C74" s="4"/>
      <c r="D74" s="4"/>
      <c r="E74" s="4"/>
    </row>
    <row r="75" customFormat="false" ht="15" hidden="false" customHeight="false" outlineLevel="0" collapsed="false">
      <c r="A75" s="5" t="n">
        <v>56</v>
      </c>
      <c r="B75" s="6" t="s">
        <v>76</v>
      </c>
      <c r="C75" s="7" t="n">
        <f aca="false">'All Products (Filterable)'!D57</f>
        <v>4299</v>
      </c>
      <c r="D75" s="7" t="n">
        <f aca="false">'All Products (Filterable)'!E57</f>
        <v>2199</v>
      </c>
      <c r="E75" s="7" t="n">
        <f aca="false">'All Products (Filterable)'!F57</f>
        <v>1099</v>
      </c>
    </row>
    <row r="76" customFormat="false" ht="15" hidden="false" customHeight="false" outlineLevel="0" collapsed="false">
      <c r="A76" s="5" t="n">
        <v>57</v>
      </c>
      <c r="B76" s="6" t="s">
        <v>77</v>
      </c>
      <c r="C76" s="7" t="n">
        <f aca="false">'All Products (Filterable)'!D58</f>
        <v>1399</v>
      </c>
      <c r="D76" s="7" t="n">
        <f aca="false">'All Products (Filterable)'!E58</f>
        <v>699</v>
      </c>
      <c r="E76" s="7" t="n">
        <f aca="false">'All Products (Filterable)'!F58</f>
        <v>399</v>
      </c>
    </row>
    <row r="77" customFormat="false" ht="19.5" hidden="false" customHeight="true" outlineLevel="0" collapsed="false">
      <c r="A77" s="4" t="s">
        <v>78</v>
      </c>
      <c r="B77" s="4"/>
      <c r="C77" s="4"/>
      <c r="D77" s="4"/>
      <c r="E77" s="4"/>
    </row>
    <row r="78" customFormat="false" ht="15" hidden="false" customHeight="false" outlineLevel="0" collapsed="false">
      <c r="A78" s="5" t="n">
        <v>58</v>
      </c>
      <c r="B78" s="6" t="s">
        <v>79</v>
      </c>
      <c r="C78" s="7" t="n">
        <f aca="false">'All Products (Filterable)'!D59</f>
        <v>899</v>
      </c>
      <c r="D78" s="7" t="n">
        <f aca="false">'All Products (Filterable)'!E59</f>
        <v>499</v>
      </c>
      <c r="E78" s="7" t="n">
        <f aca="false">'All Products (Filterable)'!F59</f>
        <v>299</v>
      </c>
    </row>
    <row r="79" customFormat="false" ht="15" hidden="false" customHeight="false" outlineLevel="0" collapsed="false">
      <c r="A79" s="5" t="n">
        <v>59</v>
      </c>
      <c r="B79" s="6" t="s">
        <v>80</v>
      </c>
      <c r="C79" s="7" t="n">
        <f aca="false">'All Products (Filterable)'!D60</f>
        <v>1099</v>
      </c>
      <c r="D79" s="7" t="n">
        <f aca="false">'All Products (Filterable)'!E60</f>
        <v>599</v>
      </c>
      <c r="E79" s="7" t="n">
        <f aca="false">'All Products (Filterable)'!F60</f>
        <v>299</v>
      </c>
    </row>
    <row r="80" customFormat="false" ht="15" hidden="false" customHeight="false" outlineLevel="0" collapsed="false">
      <c r="A80" s="5" t="n">
        <v>60</v>
      </c>
      <c r="B80" s="6" t="s">
        <v>81</v>
      </c>
      <c r="C80" s="7" t="n">
        <f aca="false">'All Products (Filterable)'!D61</f>
        <v>1199</v>
      </c>
      <c r="D80" s="7" t="n">
        <f aca="false">'All Products (Filterable)'!E61</f>
        <v>599</v>
      </c>
      <c r="E80" s="7" t="n">
        <f aca="false">'All Products (Filterable)'!F61</f>
        <v>299</v>
      </c>
    </row>
    <row r="81" customFormat="false" ht="19.5" hidden="false" customHeight="true" outlineLevel="0" collapsed="false">
      <c r="A81" s="4" t="s">
        <v>82</v>
      </c>
      <c r="B81" s="4"/>
      <c r="C81" s="4"/>
      <c r="D81" s="4"/>
      <c r="E81" s="4"/>
    </row>
    <row r="82" customFormat="false" ht="15" hidden="false" customHeight="false" outlineLevel="0" collapsed="false">
      <c r="A82" s="5" t="n">
        <v>61</v>
      </c>
      <c r="B82" s="6" t="s">
        <v>83</v>
      </c>
      <c r="C82" s="7" t="n">
        <f aca="false">'All Products (Filterable)'!D62</f>
        <v>1599</v>
      </c>
      <c r="D82" s="7" t="n">
        <f aca="false">'All Products (Filterable)'!E62</f>
        <v>799</v>
      </c>
      <c r="E82" s="7" t="n">
        <f aca="false">'All Products (Filterable)'!F62</f>
        <v>399</v>
      </c>
    </row>
    <row r="83" customFormat="false" ht="15" hidden="false" customHeight="false" outlineLevel="0" collapsed="false">
      <c r="A83" s="5" t="n">
        <v>62</v>
      </c>
      <c r="B83" s="6" t="s">
        <v>84</v>
      </c>
      <c r="C83" s="7" t="n">
        <f aca="false">'All Products (Filterable)'!D63</f>
        <v>1599</v>
      </c>
      <c r="D83" s="7" t="n">
        <f aca="false">'All Products (Filterable)'!E63</f>
        <v>799</v>
      </c>
      <c r="E83" s="7" t="n">
        <f aca="false">'All Products (Filterable)'!F63</f>
        <v>399</v>
      </c>
    </row>
    <row r="84" customFormat="false" ht="15" hidden="false" customHeight="false" outlineLevel="0" collapsed="false">
      <c r="A84" s="5" t="n">
        <v>63</v>
      </c>
      <c r="B84" s="6" t="s">
        <v>85</v>
      </c>
      <c r="C84" s="7" t="n">
        <f aca="false">'All Products (Filterable)'!D64</f>
        <v>1399</v>
      </c>
      <c r="D84" s="7" t="n">
        <f aca="false">'All Products (Filterable)'!E64</f>
        <v>699</v>
      </c>
      <c r="E84" s="7" t="n">
        <f aca="false">'All Products (Filterable)'!F64</f>
        <v>399</v>
      </c>
    </row>
    <row r="85" customFormat="false" ht="15" hidden="false" customHeight="false" outlineLevel="0" collapsed="false">
      <c r="A85" s="5" t="n">
        <v>64</v>
      </c>
      <c r="B85" s="6" t="s">
        <v>86</v>
      </c>
      <c r="C85" s="7" t="n">
        <f aca="false">'All Products (Filterable)'!D65</f>
        <v>1599</v>
      </c>
      <c r="D85" s="7" t="n">
        <f aca="false">'All Products (Filterable)'!E65</f>
        <v>799</v>
      </c>
      <c r="E85" s="7" t="n">
        <f aca="false">'All Products (Filterable)'!F65</f>
        <v>399</v>
      </c>
    </row>
    <row r="86" customFormat="false" ht="15" hidden="false" customHeight="false" outlineLevel="0" collapsed="false">
      <c r="A86" s="5" t="n">
        <v>65</v>
      </c>
      <c r="B86" s="6" t="s">
        <v>87</v>
      </c>
      <c r="C86" s="7" t="n">
        <f aca="false">'All Products (Filterable)'!D66</f>
        <v>1599</v>
      </c>
      <c r="D86" s="7" t="n">
        <f aca="false">'All Products (Filterable)'!E66</f>
        <v>799</v>
      </c>
      <c r="E86" s="7" t="n">
        <f aca="false">'All Products (Filterable)'!F66</f>
        <v>399</v>
      </c>
    </row>
    <row r="87" customFormat="false" ht="19.5" hidden="false" customHeight="true" outlineLevel="0" collapsed="false">
      <c r="A87" s="4" t="s">
        <v>88</v>
      </c>
      <c r="B87" s="4"/>
      <c r="C87" s="4"/>
      <c r="D87" s="4"/>
      <c r="E87" s="4"/>
    </row>
    <row r="88" customFormat="false" ht="15" hidden="false" customHeight="false" outlineLevel="0" collapsed="false">
      <c r="A88" s="5" t="n">
        <v>66</v>
      </c>
      <c r="B88" s="6" t="s">
        <v>89</v>
      </c>
      <c r="C88" s="7" t="n">
        <f aca="false">'All Products (Filterable)'!D67</f>
        <v>1599</v>
      </c>
      <c r="D88" s="7" t="n">
        <f aca="false">'All Products (Filterable)'!E67</f>
        <v>799</v>
      </c>
      <c r="E88" s="7" t="n">
        <f aca="false">'All Products (Filterable)'!F67</f>
        <v>399</v>
      </c>
    </row>
    <row r="89" customFormat="false" ht="15" hidden="false" customHeight="false" outlineLevel="0" collapsed="false">
      <c r="A89" s="5" t="n">
        <v>67</v>
      </c>
      <c r="B89" s="6" t="s">
        <v>90</v>
      </c>
      <c r="C89" s="7" t="n">
        <f aca="false">'All Products (Filterable)'!D68</f>
        <v>3699</v>
      </c>
      <c r="D89" s="7" t="n">
        <f aca="false">'All Products (Filterable)'!E68</f>
        <v>1899</v>
      </c>
      <c r="E89" s="7" t="n">
        <f aca="false">'All Products (Filterable)'!F68</f>
        <v>999</v>
      </c>
    </row>
    <row r="90" customFormat="false" ht="15" hidden="false" customHeight="false" outlineLevel="0" collapsed="false">
      <c r="A90" s="5" t="n">
        <v>68</v>
      </c>
      <c r="B90" s="6" t="s">
        <v>91</v>
      </c>
      <c r="C90" s="7" t="n">
        <f aca="false">'All Products (Filterable)'!D69</f>
        <v>1899</v>
      </c>
      <c r="D90" s="7" t="n">
        <f aca="false">'All Products (Filterable)'!E69</f>
        <v>999</v>
      </c>
      <c r="E90" s="7" t="n">
        <f aca="false">'All Products (Filterable)'!F69</f>
        <v>499</v>
      </c>
    </row>
    <row r="91" customFormat="false" ht="15" hidden="false" customHeight="false" outlineLevel="0" collapsed="false">
      <c r="A91" s="5" t="n">
        <v>69</v>
      </c>
      <c r="B91" s="6" t="s">
        <v>92</v>
      </c>
      <c r="C91" s="7" t="n">
        <f aca="false">'All Products (Filterable)'!D70</f>
        <v>1899</v>
      </c>
      <c r="D91" s="7" t="n">
        <f aca="false">'All Products (Filterable)'!E70</f>
        <v>999</v>
      </c>
      <c r="E91" s="7" t="n">
        <f aca="false">'All Products (Filterable)'!F70</f>
        <v>499</v>
      </c>
    </row>
    <row r="92" customFormat="false" ht="15" hidden="false" customHeight="false" outlineLevel="0" collapsed="false">
      <c r="A92" s="5" t="n">
        <v>70</v>
      </c>
      <c r="B92" s="6" t="s">
        <v>93</v>
      </c>
      <c r="C92" s="7" t="n">
        <f aca="false">'All Products (Filterable)'!D71</f>
        <v>1599</v>
      </c>
      <c r="D92" s="7" t="n">
        <f aca="false">'All Products (Filterable)'!E71</f>
        <v>799</v>
      </c>
      <c r="E92" s="7" t="n">
        <f aca="false">'All Products (Filterable)'!F71</f>
        <v>399</v>
      </c>
    </row>
    <row r="93" customFormat="false" ht="19.5" hidden="false" customHeight="true" outlineLevel="0" collapsed="false">
      <c r="A93" s="4" t="s">
        <v>94</v>
      </c>
      <c r="B93" s="4"/>
      <c r="C93" s="4"/>
      <c r="D93" s="4"/>
      <c r="E93" s="4"/>
    </row>
    <row r="94" customFormat="false" ht="15" hidden="false" customHeight="false" outlineLevel="0" collapsed="false">
      <c r="A94" s="5" t="n">
        <v>71</v>
      </c>
      <c r="B94" s="6" t="s">
        <v>95</v>
      </c>
      <c r="C94" s="7" t="n">
        <f aca="false">'All Products (Filterable)'!D72</f>
        <v>1399</v>
      </c>
      <c r="D94" s="7" t="n">
        <f aca="false">'All Products (Filterable)'!E72</f>
        <v>699</v>
      </c>
      <c r="E94" s="7" t="n">
        <f aca="false">'All Products (Filterable)'!F72</f>
        <v>399</v>
      </c>
    </row>
    <row r="95" customFormat="false" ht="15" hidden="false" customHeight="false" outlineLevel="0" collapsed="false">
      <c r="A95" s="5" t="n">
        <v>72</v>
      </c>
      <c r="B95" s="6" t="s">
        <v>96</v>
      </c>
      <c r="C95" s="7" t="n">
        <f aca="false">'All Products (Filterable)'!D73</f>
        <v>2699</v>
      </c>
      <c r="D95" s="7" t="n">
        <f aca="false">'All Products (Filterable)'!E73</f>
        <v>1399</v>
      </c>
      <c r="E95" s="7" t="n">
        <f aca="false">'All Products (Filterable)'!F73</f>
        <v>699</v>
      </c>
    </row>
    <row r="96" customFormat="false" ht="15" hidden="false" customHeight="false" outlineLevel="0" collapsed="false">
      <c r="A96" s="5" t="n">
        <v>73</v>
      </c>
      <c r="B96" s="6" t="s">
        <v>97</v>
      </c>
      <c r="C96" s="7" t="n">
        <f aca="false">'All Products (Filterable)'!D74</f>
        <v>1399</v>
      </c>
      <c r="D96" s="7" t="n">
        <f aca="false">'All Products (Filterable)'!E74</f>
        <v>699</v>
      </c>
      <c r="E96" s="7" t="n">
        <f aca="false">'All Products (Filterable)'!F74</f>
        <v>399</v>
      </c>
    </row>
    <row r="97" customFormat="false" ht="15" hidden="false" customHeight="false" outlineLevel="0" collapsed="false">
      <c r="A97" s="5" t="n">
        <v>74</v>
      </c>
      <c r="B97" s="6" t="s">
        <v>98</v>
      </c>
      <c r="C97" s="7" t="n">
        <f aca="false">'All Products (Filterable)'!D75</f>
        <v>1399</v>
      </c>
      <c r="D97" s="7" t="n">
        <f aca="false">'All Products (Filterable)'!E75</f>
        <v>699</v>
      </c>
      <c r="E97" s="7" t="n">
        <f aca="false">'All Products (Filterable)'!F75</f>
        <v>399</v>
      </c>
    </row>
    <row r="98" customFormat="false" ht="15" hidden="false" customHeight="false" outlineLevel="0" collapsed="false">
      <c r="A98" s="5" t="n">
        <v>75</v>
      </c>
      <c r="B98" s="6" t="s">
        <v>99</v>
      </c>
      <c r="C98" s="7" t="n">
        <f aca="false">'All Products (Filterable)'!D76</f>
        <v>1399</v>
      </c>
      <c r="D98" s="7" t="n">
        <f aca="false">'All Products (Filterable)'!E76</f>
        <v>699</v>
      </c>
      <c r="E98" s="7" t="n">
        <f aca="false">'All Products (Filterable)'!F76</f>
        <v>399</v>
      </c>
    </row>
    <row r="99" customFormat="false" ht="15" hidden="false" customHeight="false" outlineLevel="0" collapsed="false">
      <c r="A99" s="5" t="n">
        <v>76</v>
      </c>
      <c r="B99" s="6" t="s">
        <v>100</v>
      </c>
      <c r="C99" s="7" t="n">
        <f aca="false">'All Products (Filterable)'!D77</f>
        <v>1399</v>
      </c>
      <c r="D99" s="7" t="n">
        <f aca="false">'All Products (Filterable)'!E77</f>
        <v>699</v>
      </c>
      <c r="E99" s="7" t="n">
        <f aca="false">'All Products (Filterable)'!F77</f>
        <v>399</v>
      </c>
    </row>
    <row r="100" customFormat="false" ht="15" hidden="false" customHeight="false" outlineLevel="0" collapsed="false">
      <c r="A100" s="5" t="n">
        <v>77</v>
      </c>
      <c r="B100" s="6" t="s">
        <v>101</v>
      </c>
      <c r="C100" s="7" t="n">
        <f aca="false">'All Products (Filterable)'!D78</f>
        <v>1399</v>
      </c>
      <c r="D100" s="7" t="n">
        <f aca="false">'All Products (Filterable)'!E78</f>
        <v>699</v>
      </c>
      <c r="E100" s="7" t="n">
        <f aca="false">'All Products (Filterable)'!F78</f>
        <v>399</v>
      </c>
    </row>
    <row r="101" customFormat="false" ht="15" hidden="false" customHeight="false" outlineLevel="0" collapsed="false">
      <c r="A101" s="5" t="n">
        <v>78</v>
      </c>
      <c r="B101" s="6" t="s">
        <v>102</v>
      </c>
      <c r="C101" s="7" t="n">
        <f aca="false">'All Products (Filterable)'!D79</f>
        <v>1399</v>
      </c>
      <c r="D101" s="7" t="n">
        <f aca="false">'All Products (Filterable)'!E79</f>
        <v>699</v>
      </c>
      <c r="E101" s="7" t="n">
        <f aca="false">'All Products (Filterable)'!F79</f>
        <v>399</v>
      </c>
    </row>
    <row r="102" customFormat="false" ht="15" hidden="false" customHeight="false" outlineLevel="0" collapsed="false">
      <c r="A102" s="5" t="n">
        <v>79</v>
      </c>
      <c r="B102" s="6" t="s">
        <v>103</v>
      </c>
      <c r="C102" s="7" t="n">
        <f aca="false">'All Products (Filterable)'!D80</f>
        <v>2699</v>
      </c>
      <c r="D102" s="7" t="n">
        <f aca="false">'All Products (Filterable)'!E80</f>
        <v>1399</v>
      </c>
      <c r="E102" s="7" t="n">
        <f aca="false">'All Products (Filterable)'!F80</f>
        <v>699</v>
      </c>
    </row>
    <row r="103" customFormat="false" ht="15" hidden="false" customHeight="false" outlineLevel="0" collapsed="false">
      <c r="A103" s="5" t="n">
        <v>80</v>
      </c>
      <c r="B103" s="6" t="s">
        <v>104</v>
      </c>
      <c r="C103" s="7" t="n">
        <f aca="false">'All Products (Filterable)'!D81</f>
        <v>1999</v>
      </c>
      <c r="D103" s="7" t="n">
        <f aca="false">'All Products (Filterable)'!E81</f>
        <v>999</v>
      </c>
      <c r="E103" s="7" t="n">
        <f aca="false">'All Products (Filterable)'!F81</f>
        <v>499</v>
      </c>
    </row>
    <row r="104" customFormat="false" ht="15" hidden="false" customHeight="false" outlineLevel="0" collapsed="false">
      <c r="A104" s="5" t="n">
        <v>81</v>
      </c>
      <c r="B104" s="6" t="s">
        <v>105</v>
      </c>
      <c r="C104" s="7" t="n">
        <f aca="false">'All Products (Filterable)'!D82</f>
        <v>1399</v>
      </c>
      <c r="D104" s="7" t="n">
        <f aca="false">'All Products (Filterable)'!E82</f>
        <v>699</v>
      </c>
      <c r="E104" s="7" t="n">
        <f aca="false">'All Products (Filterable)'!F82</f>
        <v>399</v>
      </c>
    </row>
    <row r="105" customFormat="false" ht="15" hidden="false" customHeight="false" outlineLevel="0" collapsed="false">
      <c r="A105" s="5" t="n">
        <v>82</v>
      </c>
      <c r="B105" s="6" t="s">
        <v>106</v>
      </c>
      <c r="C105" s="7" t="n">
        <f aca="false">'All Products (Filterable)'!D83</f>
        <v>1399</v>
      </c>
      <c r="D105" s="7" t="n">
        <f aca="false">'All Products (Filterable)'!E83</f>
        <v>699</v>
      </c>
      <c r="E105" s="7" t="n">
        <f aca="false">'All Products (Filterable)'!F83</f>
        <v>399</v>
      </c>
    </row>
    <row r="106" customFormat="false" ht="19.5" hidden="false" customHeight="true" outlineLevel="0" collapsed="false">
      <c r="A106" s="4" t="s">
        <v>107</v>
      </c>
      <c r="B106" s="4"/>
      <c r="C106" s="4"/>
      <c r="D106" s="4"/>
      <c r="E106" s="4"/>
    </row>
    <row r="107" customFormat="false" ht="15" hidden="false" customHeight="false" outlineLevel="0" collapsed="false">
      <c r="A107" s="5" t="n">
        <v>83</v>
      </c>
      <c r="B107" s="6" t="s">
        <v>108</v>
      </c>
      <c r="C107" s="7" t="n">
        <f aca="false">'All Products (Filterable)'!D84</f>
        <v>1299</v>
      </c>
      <c r="D107" s="7" t="n">
        <f aca="false">'All Products (Filterable)'!E84</f>
        <v>699</v>
      </c>
      <c r="E107" s="7" t="n">
        <f aca="false">'All Products (Filterable)'!F84</f>
        <v>399</v>
      </c>
    </row>
    <row r="108" customFormat="false" ht="15" hidden="false" customHeight="false" outlineLevel="0" collapsed="false">
      <c r="A108" s="5" t="n">
        <v>84</v>
      </c>
      <c r="B108" s="6" t="s">
        <v>109</v>
      </c>
      <c r="C108" s="7" t="n">
        <f aca="false">'All Products (Filterable)'!D85</f>
        <v>1299</v>
      </c>
      <c r="D108" s="7" t="n">
        <f aca="false">'All Products (Filterable)'!E85</f>
        <v>699</v>
      </c>
      <c r="E108" s="7" t="n">
        <f aca="false">'All Products (Filterable)'!F85</f>
        <v>399</v>
      </c>
    </row>
    <row r="109" customFormat="false" ht="15" hidden="false" customHeight="false" outlineLevel="0" collapsed="false">
      <c r="A109" s="5" t="n">
        <v>85</v>
      </c>
      <c r="B109" s="6" t="s">
        <v>110</v>
      </c>
      <c r="C109" s="7" t="n">
        <f aca="false">'All Products (Filterable)'!D86</f>
        <v>1199</v>
      </c>
      <c r="D109" s="7" t="n">
        <f aca="false">'All Products (Filterable)'!E86</f>
        <v>599</v>
      </c>
      <c r="E109" s="7" t="n">
        <f aca="false">'All Products (Filterable)'!F86</f>
        <v>299</v>
      </c>
    </row>
    <row r="111" customFormat="false" ht="15" hidden="false" customHeight="false" outlineLevel="0" collapsed="false">
      <c r="B111" s="8" t="s">
        <v>111</v>
      </c>
      <c r="C111" s="9" t="n">
        <f aca="false">COUNT(A5:A109)</f>
        <v>85</v>
      </c>
    </row>
  </sheetData>
  <mergeCells count="22">
    <mergeCell ref="A1:E1"/>
    <mergeCell ref="A2:E2"/>
    <mergeCell ref="A5:E5"/>
    <mergeCell ref="A13:E13"/>
    <mergeCell ref="A17:E17"/>
    <mergeCell ref="A21:E21"/>
    <mergeCell ref="A26:E26"/>
    <mergeCell ref="A33:E33"/>
    <mergeCell ref="A37:E37"/>
    <mergeCell ref="A41:E41"/>
    <mergeCell ref="A44:E44"/>
    <mergeCell ref="A50:E50"/>
    <mergeCell ref="A52:E52"/>
    <mergeCell ref="A55:E55"/>
    <mergeCell ref="A66:E66"/>
    <mergeCell ref="A69:E69"/>
    <mergeCell ref="A74:E74"/>
    <mergeCell ref="A77:E77"/>
    <mergeCell ref="A81:E81"/>
    <mergeCell ref="A87:E87"/>
    <mergeCell ref="A93:E93"/>
    <mergeCell ref="A106:E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6" min="3" style="0" width="18"/>
  </cols>
  <sheetData>
    <row r="1" customFormat="false" ht="30" hidden="false" customHeight="true" outlineLevel="0" collapsed="false">
      <c r="A1" s="3" t="s">
        <v>112</v>
      </c>
      <c r="B1" s="3" t="s">
        <v>3</v>
      </c>
      <c r="C1" s="3" t="s">
        <v>113</v>
      </c>
      <c r="D1" s="3" t="s">
        <v>4</v>
      </c>
      <c r="E1" s="3" t="s">
        <v>5</v>
      </c>
      <c r="F1" s="3" t="s">
        <v>6</v>
      </c>
    </row>
    <row r="2" customFormat="false" ht="15" hidden="false" customHeight="false" outlineLevel="0" collapsed="false">
      <c r="A2" s="6" t="s">
        <v>7</v>
      </c>
      <c r="B2" s="6" t="s">
        <v>8</v>
      </c>
      <c r="C2" s="10" t="n">
        <v>1899</v>
      </c>
      <c r="D2" s="11" t="n">
        <f aca="false">INT($C2/100)*100+99</f>
        <v>1899</v>
      </c>
      <c r="E2" s="11" t="n">
        <f aca="false">INT($C2/2/100)*100+99</f>
        <v>999</v>
      </c>
      <c r="F2" s="11" t="n">
        <f aca="false">INT($C2/4/100)*100+99</f>
        <v>499</v>
      </c>
    </row>
    <row r="3" customFormat="false" ht="15" hidden="false" customHeight="false" outlineLevel="0" collapsed="false">
      <c r="A3" s="6" t="s">
        <v>7</v>
      </c>
      <c r="B3" s="6" t="s">
        <v>9</v>
      </c>
      <c r="C3" s="10" t="n">
        <v>2199</v>
      </c>
      <c r="D3" s="11" t="n">
        <f aca="false">INT($C3/100)*100+99</f>
        <v>2199</v>
      </c>
      <c r="E3" s="11" t="n">
        <f aca="false">INT($C3/2/100)*100+99</f>
        <v>1099</v>
      </c>
      <c r="F3" s="11" t="n">
        <f aca="false">INT($C3/4/100)*100+99</f>
        <v>599</v>
      </c>
    </row>
    <row r="4" customFormat="false" ht="15" hidden="false" customHeight="false" outlineLevel="0" collapsed="false">
      <c r="A4" s="6" t="s">
        <v>7</v>
      </c>
      <c r="B4" s="6" t="s">
        <v>10</v>
      </c>
      <c r="C4" s="10" t="n">
        <v>2499</v>
      </c>
      <c r="D4" s="11" t="n">
        <f aca="false">INT($C4/100)*100+99</f>
        <v>2499</v>
      </c>
      <c r="E4" s="11" t="n">
        <f aca="false">INT($C4/2/100)*100+99</f>
        <v>1299</v>
      </c>
      <c r="F4" s="11" t="n">
        <f aca="false">INT($C4/4/100)*100+99</f>
        <v>699</v>
      </c>
    </row>
    <row r="5" customFormat="false" ht="15" hidden="false" customHeight="false" outlineLevel="0" collapsed="false">
      <c r="A5" s="6" t="s">
        <v>7</v>
      </c>
      <c r="B5" s="6" t="s">
        <v>11</v>
      </c>
      <c r="C5" s="10" t="n">
        <v>2699</v>
      </c>
      <c r="D5" s="11" t="n">
        <f aca="false">INT($C5/100)*100+99</f>
        <v>2699</v>
      </c>
      <c r="E5" s="11" t="n">
        <f aca="false">INT($C5/2/100)*100+99</f>
        <v>1399</v>
      </c>
      <c r="F5" s="11" t="n">
        <f aca="false">INT($C5/4/100)*100+99</f>
        <v>699</v>
      </c>
    </row>
    <row r="6" customFormat="false" ht="15" hidden="false" customHeight="false" outlineLevel="0" collapsed="false">
      <c r="A6" s="6" t="s">
        <v>7</v>
      </c>
      <c r="B6" s="6" t="s">
        <v>12</v>
      </c>
      <c r="C6" s="10" t="n">
        <v>2199</v>
      </c>
      <c r="D6" s="11" t="n">
        <f aca="false">INT($C6/100)*100+99</f>
        <v>2199</v>
      </c>
      <c r="E6" s="11" t="n">
        <f aca="false">INT($C6/2/100)*100+99</f>
        <v>1099</v>
      </c>
      <c r="F6" s="11" t="n">
        <f aca="false">INT($C6/4/100)*100+99</f>
        <v>599</v>
      </c>
    </row>
    <row r="7" customFormat="false" ht="15" hidden="false" customHeight="false" outlineLevel="0" collapsed="false">
      <c r="A7" s="6" t="s">
        <v>7</v>
      </c>
      <c r="B7" s="6" t="s">
        <v>13</v>
      </c>
      <c r="C7" s="10" t="n">
        <v>2199</v>
      </c>
      <c r="D7" s="11" t="n">
        <f aca="false">INT($C7/100)*100+99</f>
        <v>2199</v>
      </c>
      <c r="E7" s="11" t="n">
        <f aca="false">INT($C7/2/100)*100+99</f>
        <v>1099</v>
      </c>
      <c r="F7" s="11" t="n">
        <f aca="false">INT($C7/4/100)*100+99</f>
        <v>599</v>
      </c>
    </row>
    <row r="8" customFormat="false" ht="15" hidden="false" customHeight="false" outlineLevel="0" collapsed="false">
      <c r="A8" s="6" t="s">
        <v>7</v>
      </c>
      <c r="B8" s="6" t="s">
        <v>14</v>
      </c>
      <c r="C8" s="10" t="n">
        <v>2199</v>
      </c>
      <c r="D8" s="11" t="n">
        <f aca="false">INT($C8/100)*100+99</f>
        <v>2199</v>
      </c>
      <c r="E8" s="11" t="n">
        <f aca="false">INT($C8/2/100)*100+99</f>
        <v>1099</v>
      </c>
      <c r="F8" s="11" t="n">
        <f aca="false">INT($C8/4/100)*100+99</f>
        <v>599</v>
      </c>
    </row>
    <row r="9" customFormat="false" ht="15" hidden="false" customHeight="false" outlineLevel="0" collapsed="false">
      <c r="A9" s="6" t="s">
        <v>15</v>
      </c>
      <c r="B9" s="6" t="s">
        <v>16</v>
      </c>
      <c r="C9" s="10" t="n">
        <v>1599</v>
      </c>
      <c r="D9" s="11" t="n">
        <f aca="false">INT($C9/100)*100+99</f>
        <v>1599</v>
      </c>
      <c r="E9" s="11" t="n">
        <f aca="false">INT($C9/2/100)*100+99</f>
        <v>799</v>
      </c>
      <c r="F9" s="11" t="n">
        <f aca="false">INT($C9/4/100)*100+99</f>
        <v>399</v>
      </c>
    </row>
    <row r="10" customFormat="false" ht="15" hidden="false" customHeight="false" outlineLevel="0" collapsed="false">
      <c r="A10" s="6" t="s">
        <v>15</v>
      </c>
      <c r="B10" s="6" t="s">
        <v>17</v>
      </c>
      <c r="C10" s="10" t="n">
        <v>2499</v>
      </c>
      <c r="D10" s="11" t="n">
        <f aca="false">INT($C10/100)*100+99</f>
        <v>2499</v>
      </c>
      <c r="E10" s="11" t="n">
        <f aca="false">INT($C10/2/100)*100+99</f>
        <v>1299</v>
      </c>
      <c r="F10" s="11" t="n">
        <f aca="false">INT($C10/4/100)*100+99</f>
        <v>699</v>
      </c>
    </row>
    <row r="11" customFormat="false" ht="15" hidden="false" customHeight="false" outlineLevel="0" collapsed="false">
      <c r="A11" s="6" t="s">
        <v>15</v>
      </c>
      <c r="B11" s="6" t="s">
        <v>18</v>
      </c>
      <c r="C11" s="10" t="n">
        <v>2199</v>
      </c>
      <c r="D11" s="11" t="n">
        <f aca="false">INT($C11/100)*100+99</f>
        <v>2199</v>
      </c>
      <c r="E11" s="11" t="n">
        <f aca="false">INT($C11/2/100)*100+99</f>
        <v>1099</v>
      </c>
      <c r="F11" s="11" t="n">
        <f aca="false">INT($C11/4/100)*100+99</f>
        <v>599</v>
      </c>
    </row>
    <row r="12" customFormat="false" ht="15" hidden="false" customHeight="false" outlineLevel="0" collapsed="false">
      <c r="A12" s="6" t="s">
        <v>19</v>
      </c>
      <c r="B12" s="6" t="s">
        <v>20</v>
      </c>
      <c r="C12" s="10" t="n">
        <v>5999</v>
      </c>
      <c r="D12" s="11" t="n">
        <f aca="false">INT($C12/100)*100+99</f>
        <v>5999</v>
      </c>
      <c r="E12" s="11" t="n">
        <f aca="false">INT($C12/2/100)*100+99</f>
        <v>2999</v>
      </c>
      <c r="F12" s="11" t="n">
        <f aca="false">INT($C12/4/100)*100+99</f>
        <v>1499</v>
      </c>
    </row>
    <row r="13" customFormat="false" ht="15" hidden="false" customHeight="false" outlineLevel="0" collapsed="false">
      <c r="A13" s="6" t="s">
        <v>19</v>
      </c>
      <c r="B13" s="6" t="s">
        <v>21</v>
      </c>
      <c r="C13" s="10" t="n">
        <v>6599</v>
      </c>
      <c r="D13" s="11" t="n">
        <f aca="false">INT($C13/100)*100+99</f>
        <v>6599</v>
      </c>
      <c r="E13" s="11" t="n">
        <f aca="false">INT($C13/2/100)*100+99</f>
        <v>3299</v>
      </c>
      <c r="F13" s="11" t="n">
        <f aca="false">INT($C13/4/100)*100+99</f>
        <v>1699</v>
      </c>
    </row>
    <row r="14" customFormat="false" ht="15" hidden="false" customHeight="false" outlineLevel="0" collapsed="false">
      <c r="A14" s="6" t="s">
        <v>19</v>
      </c>
      <c r="B14" s="6" t="s">
        <v>22</v>
      </c>
      <c r="C14" s="10" t="n">
        <v>7999</v>
      </c>
      <c r="D14" s="11" t="n">
        <f aca="false">INT($C14/100)*100+99</f>
        <v>7999</v>
      </c>
      <c r="E14" s="11" t="n">
        <f aca="false">INT($C14/2/100)*100+99</f>
        <v>3999</v>
      </c>
      <c r="F14" s="11" t="n">
        <f aca="false">INT($C14/4/100)*100+99</f>
        <v>1999</v>
      </c>
    </row>
    <row r="15" customFormat="false" ht="15" hidden="false" customHeight="false" outlineLevel="0" collapsed="false">
      <c r="A15" s="6" t="s">
        <v>23</v>
      </c>
      <c r="B15" s="6" t="s">
        <v>24</v>
      </c>
      <c r="C15" s="10" t="n">
        <v>2199</v>
      </c>
      <c r="D15" s="11" t="n">
        <f aca="false">INT($C15/100)*100+99</f>
        <v>2199</v>
      </c>
      <c r="E15" s="11" t="n">
        <f aca="false">INT($C15/2/100)*100+99</f>
        <v>1099</v>
      </c>
      <c r="F15" s="11" t="n">
        <f aca="false">INT($C15/4/100)*100+99</f>
        <v>599</v>
      </c>
    </row>
    <row r="16" customFormat="false" ht="15" hidden="false" customHeight="false" outlineLevel="0" collapsed="false">
      <c r="A16" s="6" t="s">
        <v>23</v>
      </c>
      <c r="B16" s="6" t="s">
        <v>25</v>
      </c>
      <c r="C16" s="10" t="n">
        <v>2499</v>
      </c>
      <c r="D16" s="11" t="n">
        <f aca="false">INT($C16/100)*100+99</f>
        <v>2499</v>
      </c>
      <c r="E16" s="11" t="n">
        <f aca="false">INT($C16/2/100)*100+99</f>
        <v>1299</v>
      </c>
      <c r="F16" s="11" t="n">
        <f aca="false">INT($C16/4/100)*100+99</f>
        <v>699</v>
      </c>
    </row>
    <row r="17" customFormat="false" ht="15" hidden="false" customHeight="false" outlineLevel="0" collapsed="false">
      <c r="A17" s="6" t="s">
        <v>23</v>
      </c>
      <c r="B17" s="6" t="s">
        <v>26</v>
      </c>
      <c r="C17" s="10" t="n">
        <v>4299</v>
      </c>
      <c r="D17" s="11" t="n">
        <f aca="false">INT($C17/100)*100+99</f>
        <v>4299</v>
      </c>
      <c r="E17" s="11" t="n">
        <f aca="false">INT($C17/2/100)*100+99</f>
        <v>2199</v>
      </c>
      <c r="F17" s="11" t="n">
        <f aca="false">INT($C17/4/100)*100+99</f>
        <v>1099</v>
      </c>
    </row>
    <row r="18" customFormat="false" ht="15" hidden="false" customHeight="false" outlineLevel="0" collapsed="false">
      <c r="A18" s="6" t="s">
        <v>23</v>
      </c>
      <c r="B18" s="6" t="s">
        <v>27</v>
      </c>
      <c r="C18" s="10" t="n">
        <v>4899</v>
      </c>
      <c r="D18" s="11" t="n">
        <f aca="false">INT($C18/100)*100+99</f>
        <v>4899</v>
      </c>
      <c r="E18" s="11" t="n">
        <f aca="false">INT($C18/2/100)*100+99</f>
        <v>2499</v>
      </c>
      <c r="F18" s="11" t="n">
        <f aca="false">INT($C18/4/100)*100+99</f>
        <v>1299</v>
      </c>
    </row>
    <row r="19" customFormat="false" ht="15" hidden="false" customHeight="false" outlineLevel="0" collapsed="false">
      <c r="A19" s="6" t="s">
        <v>28</v>
      </c>
      <c r="B19" s="6" t="s">
        <v>29</v>
      </c>
      <c r="C19" s="10" t="n">
        <v>1100</v>
      </c>
      <c r="D19" s="11" t="n">
        <f aca="false">INT($C19/100)*100+99</f>
        <v>1199</v>
      </c>
      <c r="E19" s="11" t="n">
        <f aca="false">INT($C19/2/100)*100+99</f>
        <v>599</v>
      </c>
      <c r="F19" s="11" t="n">
        <f aca="false">INT($C19/4/100)*100+99</f>
        <v>299</v>
      </c>
    </row>
    <row r="20" customFormat="false" ht="15" hidden="false" customHeight="false" outlineLevel="0" collapsed="false">
      <c r="A20" s="6" t="s">
        <v>28</v>
      </c>
      <c r="B20" s="6" t="s">
        <v>30</v>
      </c>
      <c r="C20" s="10" t="n">
        <v>2699</v>
      </c>
      <c r="D20" s="11" t="n">
        <f aca="false">INT($C20/100)*100+99</f>
        <v>2699</v>
      </c>
      <c r="E20" s="11" t="n">
        <f aca="false">INT($C20/2/100)*100+99</f>
        <v>1399</v>
      </c>
      <c r="F20" s="11" t="n">
        <f aca="false">INT($C20/4/100)*100+99</f>
        <v>699</v>
      </c>
    </row>
    <row r="21" customFormat="false" ht="15" hidden="false" customHeight="false" outlineLevel="0" collapsed="false">
      <c r="A21" s="6" t="s">
        <v>28</v>
      </c>
      <c r="B21" s="6" t="s">
        <v>31</v>
      </c>
      <c r="C21" s="10" t="n">
        <v>1599</v>
      </c>
      <c r="D21" s="11" t="n">
        <f aca="false">INT($C21/100)*100+99</f>
        <v>1599</v>
      </c>
      <c r="E21" s="11" t="n">
        <f aca="false">INT($C21/2/100)*100+99</f>
        <v>799</v>
      </c>
      <c r="F21" s="11" t="n">
        <f aca="false">INT($C21/4/100)*100+99</f>
        <v>399</v>
      </c>
    </row>
    <row r="22" customFormat="false" ht="15" hidden="false" customHeight="false" outlineLevel="0" collapsed="false">
      <c r="A22" s="6" t="s">
        <v>28</v>
      </c>
      <c r="B22" s="6" t="s">
        <v>32</v>
      </c>
      <c r="C22" s="10" t="n">
        <v>1399</v>
      </c>
      <c r="D22" s="11" t="n">
        <f aca="false">INT($C22/100)*100+99</f>
        <v>1399</v>
      </c>
      <c r="E22" s="11" t="n">
        <f aca="false">INT($C22/2/100)*100+99</f>
        <v>699</v>
      </c>
      <c r="F22" s="11" t="n">
        <f aca="false">INT($C22/4/100)*100+99</f>
        <v>399</v>
      </c>
    </row>
    <row r="23" customFormat="false" ht="15" hidden="false" customHeight="false" outlineLevel="0" collapsed="false">
      <c r="A23" s="6" t="s">
        <v>28</v>
      </c>
      <c r="B23" s="6" t="s">
        <v>33</v>
      </c>
      <c r="C23" s="10" t="n">
        <v>1599</v>
      </c>
      <c r="D23" s="11" t="n">
        <f aca="false">INT($C23/100)*100+99</f>
        <v>1599</v>
      </c>
      <c r="E23" s="11" t="n">
        <f aca="false">INT($C23/2/100)*100+99</f>
        <v>799</v>
      </c>
      <c r="F23" s="11" t="n">
        <f aca="false">INT($C23/4/100)*100+99</f>
        <v>399</v>
      </c>
    </row>
    <row r="24" customFormat="false" ht="15" hidden="false" customHeight="false" outlineLevel="0" collapsed="false">
      <c r="A24" s="6" t="s">
        <v>28</v>
      </c>
      <c r="B24" s="6" t="s">
        <v>34</v>
      </c>
      <c r="C24" s="10" t="n">
        <v>2499</v>
      </c>
      <c r="D24" s="11" t="n">
        <f aca="false">INT($C24/100)*100+99</f>
        <v>2499</v>
      </c>
      <c r="E24" s="11" t="n">
        <f aca="false">INT($C24/2/100)*100+99</f>
        <v>1299</v>
      </c>
      <c r="F24" s="11" t="n">
        <f aca="false">INT($C24/4/100)*100+99</f>
        <v>699</v>
      </c>
    </row>
    <row r="25" customFormat="false" ht="15" hidden="false" customHeight="false" outlineLevel="0" collapsed="false">
      <c r="A25" s="6" t="s">
        <v>35</v>
      </c>
      <c r="B25" s="6" t="s">
        <v>36</v>
      </c>
      <c r="C25" s="10" t="n">
        <v>2699</v>
      </c>
      <c r="D25" s="11" t="n">
        <f aca="false">INT($C25/100)*100+99</f>
        <v>2699</v>
      </c>
      <c r="E25" s="11" t="n">
        <f aca="false">INT($C25/2/100)*100+99</f>
        <v>1399</v>
      </c>
      <c r="F25" s="11" t="n">
        <f aca="false">INT($C25/4/100)*100+99</f>
        <v>699</v>
      </c>
    </row>
    <row r="26" customFormat="false" ht="15" hidden="false" customHeight="false" outlineLevel="0" collapsed="false">
      <c r="A26" s="6" t="s">
        <v>35</v>
      </c>
      <c r="B26" s="6" t="s">
        <v>37</v>
      </c>
      <c r="C26" s="10" t="n">
        <v>3199</v>
      </c>
      <c r="D26" s="11" t="n">
        <f aca="false">INT($C26/100)*100+99</f>
        <v>3199</v>
      </c>
      <c r="E26" s="11" t="n">
        <f aca="false">INT($C26/2/100)*100+99</f>
        <v>1599</v>
      </c>
      <c r="F26" s="11" t="n">
        <f aca="false">INT($C26/4/100)*100+99</f>
        <v>799</v>
      </c>
    </row>
    <row r="27" customFormat="false" ht="15" hidden="false" customHeight="false" outlineLevel="0" collapsed="false">
      <c r="A27" s="6" t="s">
        <v>35</v>
      </c>
      <c r="B27" s="6" t="s">
        <v>38</v>
      </c>
      <c r="C27" s="10" t="n">
        <v>4599</v>
      </c>
      <c r="D27" s="11" t="n">
        <f aca="false">INT($C27/100)*100+99</f>
        <v>4599</v>
      </c>
      <c r="E27" s="11" t="n">
        <f aca="false">INT($C27/2/100)*100+99</f>
        <v>2299</v>
      </c>
      <c r="F27" s="11" t="n">
        <f aca="false">INT($C27/4/100)*100+99</f>
        <v>1199</v>
      </c>
    </row>
    <row r="28" customFormat="false" ht="15" hidden="false" customHeight="false" outlineLevel="0" collapsed="false">
      <c r="A28" s="6" t="s">
        <v>39</v>
      </c>
      <c r="B28" s="6" t="s">
        <v>40</v>
      </c>
      <c r="C28" s="10" t="n">
        <v>2499</v>
      </c>
      <c r="D28" s="11" t="n">
        <f aca="false">INT($C28/100)*100+99</f>
        <v>2499</v>
      </c>
      <c r="E28" s="11" t="n">
        <f aca="false">INT($C28/2/100)*100+99</f>
        <v>1299</v>
      </c>
      <c r="F28" s="11" t="n">
        <f aca="false">INT($C28/4/100)*100+99</f>
        <v>699</v>
      </c>
    </row>
    <row r="29" customFormat="false" ht="15" hidden="false" customHeight="false" outlineLevel="0" collapsed="false">
      <c r="A29" s="6" t="s">
        <v>39</v>
      </c>
      <c r="B29" s="6" t="s">
        <v>41</v>
      </c>
      <c r="C29" s="10" t="n">
        <v>3999</v>
      </c>
      <c r="D29" s="11" t="n">
        <f aca="false">INT($C29/100)*100+99</f>
        <v>3999</v>
      </c>
      <c r="E29" s="11" t="n">
        <f aca="false">INT($C29/2/100)*100+99</f>
        <v>1999</v>
      </c>
      <c r="F29" s="11" t="n">
        <f aca="false">INT($C29/4/100)*100+99</f>
        <v>999</v>
      </c>
    </row>
    <row r="30" customFormat="false" ht="15" hidden="false" customHeight="false" outlineLevel="0" collapsed="false">
      <c r="A30" s="6" t="s">
        <v>39</v>
      </c>
      <c r="B30" s="6" t="s">
        <v>42</v>
      </c>
      <c r="C30" s="10" t="n">
        <v>1899</v>
      </c>
      <c r="D30" s="11" t="n">
        <f aca="false">INT($C30/100)*100+99</f>
        <v>1899</v>
      </c>
      <c r="E30" s="11" t="n">
        <f aca="false">INT($C30/2/100)*100+99</f>
        <v>999</v>
      </c>
      <c r="F30" s="11" t="n">
        <f aca="false">INT($C30/4/100)*100+99</f>
        <v>499</v>
      </c>
    </row>
    <row r="31" customFormat="false" ht="15" hidden="false" customHeight="false" outlineLevel="0" collapsed="false">
      <c r="A31" s="6" t="s">
        <v>43</v>
      </c>
      <c r="B31" s="6" t="s">
        <v>44</v>
      </c>
      <c r="C31" s="10" t="n">
        <v>10599</v>
      </c>
      <c r="D31" s="11" t="n">
        <f aca="false">INT($C31/100)*100+99</f>
        <v>10599</v>
      </c>
      <c r="E31" s="11" t="n">
        <f aca="false">INT($C31/2/100)*100+99</f>
        <v>5299</v>
      </c>
      <c r="F31" s="11" t="n">
        <f aca="false">INT($C31/4/100)*100+99</f>
        <v>2699</v>
      </c>
    </row>
    <row r="32" customFormat="false" ht="15" hidden="false" customHeight="false" outlineLevel="0" collapsed="false">
      <c r="A32" s="6" t="s">
        <v>43</v>
      </c>
      <c r="B32" s="6" t="s">
        <v>45</v>
      </c>
      <c r="C32" s="10" t="n">
        <v>8499</v>
      </c>
      <c r="D32" s="11" t="n">
        <f aca="false">INT($C32/100)*100+99</f>
        <v>8499</v>
      </c>
      <c r="E32" s="11" t="n">
        <f aca="false">INT($C32/2/100)*100+99</f>
        <v>4299</v>
      </c>
      <c r="F32" s="11" t="n">
        <f aca="false">INT($C32/4/100)*100+99</f>
        <v>2199</v>
      </c>
    </row>
    <row r="33" customFormat="false" ht="15" hidden="false" customHeight="false" outlineLevel="0" collapsed="false">
      <c r="A33" s="6" t="s">
        <v>46</v>
      </c>
      <c r="B33" s="6" t="s">
        <v>47</v>
      </c>
      <c r="C33" s="10" t="n">
        <v>2199</v>
      </c>
      <c r="D33" s="11" t="n">
        <f aca="false">INT($C33/100)*100+99</f>
        <v>2199</v>
      </c>
      <c r="E33" s="11" t="n">
        <f aca="false">INT($C33/2/100)*100+99</f>
        <v>1099</v>
      </c>
      <c r="F33" s="11" t="n">
        <f aca="false">INT($C33/4/100)*100+99</f>
        <v>599</v>
      </c>
    </row>
    <row r="34" customFormat="false" ht="15" hidden="false" customHeight="false" outlineLevel="0" collapsed="false">
      <c r="A34" s="6" t="s">
        <v>46</v>
      </c>
      <c r="B34" s="6" t="s">
        <v>48</v>
      </c>
      <c r="C34" s="10" t="n">
        <v>5999</v>
      </c>
      <c r="D34" s="11" t="n">
        <f aca="false">INT($C34/100)*100+99</f>
        <v>5999</v>
      </c>
      <c r="E34" s="11" t="n">
        <f aca="false">INT($C34/2/100)*100+99</f>
        <v>2999</v>
      </c>
      <c r="F34" s="11" t="n">
        <f aca="false">INT($C34/4/100)*100+99</f>
        <v>1499</v>
      </c>
    </row>
    <row r="35" customFormat="false" ht="15" hidden="false" customHeight="false" outlineLevel="0" collapsed="false">
      <c r="A35" s="6" t="s">
        <v>46</v>
      </c>
      <c r="B35" s="6" t="s">
        <v>49</v>
      </c>
      <c r="C35" s="10" t="n">
        <v>4599</v>
      </c>
      <c r="D35" s="11" t="n">
        <f aca="false">INT($C35/100)*100+99</f>
        <v>4599</v>
      </c>
      <c r="E35" s="11" t="n">
        <f aca="false">INT($C35/2/100)*100+99</f>
        <v>2299</v>
      </c>
      <c r="F35" s="11" t="n">
        <f aca="false">INT($C35/4/100)*100+99</f>
        <v>1199</v>
      </c>
    </row>
    <row r="36" customFormat="false" ht="15" hidden="false" customHeight="false" outlineLevel="0" collapsed="false">
      <c r="A36" s="6" t="s">
        <v>46</v>
      </c>
      <c r="B36" s="6" t="s">
        <v>50</v>
      </c>
      <c r="C36" s="10" t="n">
        <v>4599</v>
      </c>
      <c r="D36" s="11" t="n">
        <f aca="false">INT($C36/100)*100+99</f>
        <v>4599</v>
      </c>
      <c r="E36" s="11" t="n">
        <f aca="false">INT($C36/2/100)*100+99</f>
        <v>2299</v>
      </c>
      <c r="F36" s="11" t="n">
        <f aca="false">INT($C36/4/100)*100+99</f>
        <v>1199</v>
      </c>
    </row>
    <row r="37" customFormat="false" ht="15" hidden="false" customHeight="false" outlineLevel="0" collapsed="false">
      <c r="A37" s="6" t="s">
        <v>46</v>
      </c>
      <c r="B37" s="6" t="s">
        <v>51</v>
      </c>
      <c r="C37" s="10" t="n">
        <v>3999</v>
      </c>
      <c r="D37" s="11" t="n">
        <f aca="false">INT($C37/100)*100+99</f>
        <v>3999</v>
      </c>
      <c r="E37" s="11" t="n">
        <f aca="false">INT($C37/2/100)*100+99</f>
        <v>1999</v>
      </c>
      <c r="F37" s="11" t="n">
        <f aca="false">INT($C37/4/100)*100+99</f>
        <v>999</v>
      </c>
    </row>
    <row r="38" customFormat="false" ht="15" hidden="false" customHeight="false" outlineLevel="0" collapsed="false">
      <c r="A38" s="6" t="s">
        <v>52</v>
      </c>
      <c r="B38" s="6" t="s">
        <v>52</v>
      </c>
      <c r="C38" s="10" t="n">
        <v>2199</v>
      </c>
      <c r="D38" s="11" t="n">
        <f aca="false">INT($C38/100)*100+99</f>
        <v>2199</v>
      </c>
      <c r="E38" s="11" t="n">
        <f aca="false">INT($C38/2/100)*100+99</f>
        <v>1099</v>
      </c>
      <c r="F38" s="11" t="n">
        <f aca="false">INT($C38/4/100)*100+99</f>
        <v>599</v>
      </c>
    </row>
    <row r="39" customFormat="false" ht="15" hidden="false" customHeight="false" outlineLevel="0" collapsed="false">
      <c r="A39" s="6" t="s">
        <v>53</v>
      </c>
      <c r="B39" s="6" t="s">
        <v>54</v>
      </c>
      <c r="C39" s="10" t="n">
        <v>2799</v>
      </c>
      <c r="D39" s="11" t="n">
        <f aca="false">INT($C39/100)*100+99</f>
        <v>2799</v>
      </c>
      <c r="E39" s="11" t="n">
        <f aca="false">INT($C39/2/100)*100+99</f>
        <v>1399</v>
      </c>
      <c r="F39" s="11" t="n">
        <f aca="false">INT($C39/4/100)*100+99</f>
        <v>699</v>
      </c>
    </row>
    <row r="40" customFormat="false" ht="15" hidden="false" customHeight="false" outlineLevel="0" collapsed="false">
      <c r="A40" s="6" t="s">
        <v>53</v>
      </c>
      <c r="B40" s="6" t="s">
        <v>55</v>
      </c>
      <c r="C40" s="10" t="n">
        <v>1899</v>
      </c>
      <c r="D40" s="11" t="n">
        <f aca="false">INT($C40/100)*100+99</f>
        <v>1899</v>
      </c>
      <c r="E40" s="11" t="n">
        <f aca="false">INT($C40/2/100)*100+99</f>
        <v>999</v>
      </c>
      <c r="F40" s="11" t="n">
        <f aca="false">INT($C40/4/100)*100+99</f>
        <v>499</v>
      </c>
    </row>
    <row r="41" customFormat="false" ht="15" hidden="false" customHeight="false" outlineLevel="0" collapsed="false">
      <c r="A41" s="6" t="s">
        <v>56</v>
      </c>
      <c r="B41" s="6" t="s">
        <v>57</v>
      </c>
      <c r="C41" s="10" t="n">
        <v>1599</v>
      </c>
      <c r="D41" s="11" t="n">
        <f aca="false">INT($C41/100)*100+99</f>
        <v>1599</v>
      </c>
      <c r="E41" s="11" t="n">
        <f aca="false">INT($C41/2/100)*100+99</f>
        <v>799</v>
      </c>
      <c r="F41" s="11" t="n">
        <f aca="false">INT($C41/4/100)*100+99</f>
        <v>399</v>
      </c>
    </row>
    <row r="42" customFormat="false" ht="15" hidden="false" customHeight="false" outlineLevel="0" collapsed="false">
      <c r="A42" s="6" t="s">
        <v>56</v>
      </c>
      <c r="B42" s="6" t="s">
        <v>58</v>
      </c>
      <c r="C42" s="10" t="n">
        <v>999</v>
      </c>
      <c r="D42" s="11" t="n">
        <f aca="false">INT($C42/100)*100+99</f>
        <v>999</v>
      </c>
      <c r="E42" s="11" t="n">
        <f aca="false">INT($C42/2/100)*100+99</f>
        <v>499</v>
      </c>
      <c r="F42" s="11" t="n">
        <f aca="false">INT($C42/4/100)*100+99</f>
        <v>299</v>
      </c>
    </row>
    <row r="43" customFormat="false" ht="15" hidden="false" customHeight="false" outlineLevel="0" collapsed="false">
      <c r="A43" s="6" t="s">
        <v>56</v>
      </c>
      <c r="B43" s="6" t="s">
        <v>59</v>
      </c>
      <c r="C43" s="10" t="n">
        <v>1399</v>
      </c>
      <c r="D43" s="11" t="n">
        <f aca="false">INT($C43/100)*100+99</f>
        <v>1399</v>
      </c>
      <c r="E43" s="11" t="n">
        <f aca="false">INT($C43/2/100)*100+99</f>
        <v>699</v>
      </c>
      <c r="F43" s="11" t="n">
        <f aca="false">INT($C43/4/100)*100+99</f>
        <v>399</v>
      </c>
    </row>
    <row r="44" customFormat="false" ht="15" hidden="false" customHeight="false" outlineLevel="0" collapsed="false">
      <c r="A44" s="6" t="s">
        <v>56</v>
      </c>
      <c r="B44" s="6" t="s">
        <v>60</v>
      </c>
      <c r="C44" s="10" t="n">
        <v>1899</v>
      </c>
      <c r="D44" s="11" t="n">
        <f aca="false">INT($C44/100)*100+99</f>
        <v>1899</v>
      </c>
      <c r="E44" s="11" t="n">
        <f aca="false">INT($C44/2/100)*100+99</f>
        <v>999</v>
      </c>
      <c r="F44" s="11" t="n">
        <f aca="false">INT($C44/4/100)*100+99</f>
        <v>499</v>
      </c>
    </row>
    <row r="45" customFormat="false" ht="15" hidden="false" customHeight="false" outlineLevel="0" collapsed="false">
      <c r="A45" s="6" t="s">
        <v>56</v>
      </c>
      <c r="B45" s="6" t="s">
        <v>61</v>
      </c>
      <c r="C45" s="10" t="n">
        <v>1100</v>
      </c>
      <c r="D45" s="11" t="n">
        <f aca="false">INT($C45/100)*100+99</f>
        <v>1199</v>
      </c>
      <c r="E45" s="11" t="n">
        <f aca="false">INT($C45/2/100)*100+99</f>
        <v>599</v>
      </c>
      <c r="F45" s="11" t="n">
        <f aca="false">INT($C45/4/100)*100+99</f>
        <v>299</v>
      </c>
    </row>
    <row r="46" customFormat="false" ht="15" hidden="false" customHeight="false" outlineLevel="0" collapsed="false">
      <c r="A46" s="6" t="s">
        <v>56</v>
      </c>
      <c r="B46" s="6" t="s">
        <v>62</v>
      </c>
      <c r="C46" s="10" t="n">
        <v>799</v>
      </c>
      <c r="D46" s="11" t="n">
        <f aca="false">INT($C46/100)*100+99</f>
        <v>799</v>
      </c>
      <c r="E46" s="11" t="n">
        <f aca="false">INT($C46/2/100)*100+99</f>
        <v>399</v>
      </c>
      <c r="F46" s="11" t="n">
        <f aca="false">INT($C46/4/100)*100+99</f>
        <v>199</v>
      </c>
    </row>
    <row r="47" customFormat="false" ht="15" hidden="false" customHeight="false" outlineLevel="0" collapsed="false">
      <c r="A47" s="6" t="s">
        <v>56</v>
      </c>
      <c r="B47" s="6" t="s">
        <v>63</v>
      </c>
      <c r="C47" s="10" t="n">
        <v>899</v>
      </c>
      <c r="D47" s="11" t="n">
        <f aca="false">INT($C47/100)*100+99</f>
        <v>899</v>
      </c>
      <c r="E47" s="11" t="n">
        <f aca="false">INT($C47/2/100)*100+99</f>
        <v>499</v>
      </c>
      <c r="F47" s="11" t="n">
        <f aca="false">INT($C47/4/100)*100+99</f>
        <v>299</v>
      </c>
    </row>
    <row r="48" customFormat="false" ht="15" hidden="false" customHeight="false" outlineLevel="0" collapsed="false">
      <c r="A48" s="6" t="s">
        <v>56</v>
      </c>
      <c r="B48" s="6" t="s">
        <v>64</v>
      </c>
      <c r="C48" s="10" t="n">
        <v>1399</v>
      </c>
      <c r="D48" s="11" t="n">
        <f aca="false">INT($C48/100)*100+99</f>
        <v>1399</v>
      </c>
      <c r="E48" s="11" t="n">
        <f aca="false">INT($C48/2/100)*100+99</f>
        <v>699</v>
      </c>
      <c r="F48" s="11" t="n">
        <f aca="false">INT($C48/4/100)*100+99</f>
        <v>399</v>
      </c>
    </row>
    <row r="49" customFormat="false" ht="15" hidden="false" customHeight="false" outlineLevel="0" collapsed="false">
      <c r="A49" s="6" t="s">
        <v>56</v>
      </c>
      <c r="B49" s="6" t="s">
        <v>65</v>
      </c>
      <c r="C49" s="10" t="n">
        <v>1100</v>
      </c>
      <c r="D49" s="11" t="n">
        <f aca="false">INT($C49/100)*100+99</f>
        <v>1199</v>
      </c>
      <c r="E49" s="11" t="n">
        <f aca="false">INT($C49/2/100)*100+99</f>
        <v>599</v>
      </c>
      <c r="F49" s="11" t="n">
        <f aca="false">INT($C49/4/100)*100+99</f>
        <v>299</v>
      </c>
    </row>
    <row r="50" customFormat="false" ht="15" hidden="false" customHeight="false" outlineLevel="0" collapsed="false">
      <c r="A50" s="6" t="s">
        <v>56</v>
      </c>
      <c r="B50" s="6" t="s">
        <v>66</v>
      </c>
      <c r="C50" s="10" t="n">
        <v>3699</v>
      </c>
      <c r="D50" s="11" t="n">
        <f aca="false">INT($C50/100)*100+99</f>
        <v>3699</v>
      </c>
      <c r="E50" s="11" t="n">
        <f aca="false">INT($C50/2/100)*100+99</f>
        <v>1899</v>
      </c>
      <c r="F50" s="11" t="n">
        <f aca="false">INT($C50/4/100)*100+99</f>
        <v>999</v>
      </c>
    </row>
    <row r="51" customFormat="false" ht="15" hidden="false" customHeight="false" outlineLevel="0" collapsed="false">
      <c r="A51" s="6" t="s">
        <v>67</v>
      </c>
      <c r="B51" s="6" t="s">
        <v>68</v>
      </c>
      <c r="C51" s="10" t="n">
        <v>9299</v>
      </c>
      <c r="D51" s="11" t="n">
        <f aca="false">INT($C51/100)*100+99</f>
        <v>9299</v>
      </c>
      <c r="E51" s="11" t="n">
        <f aca="false">INT($C51/2/100)*100+99</f>
        <v>4699</v>
      </c>
      <c r="F51" s="11" t="n">
        <f aca="false">INT($C51/4/100)*100+99</f>
        <v>2399</v>
      </c>
    </row>
    <row r="52" customFormat="false" ht="15" hidden="false" customHeight="false" outlineLevel="0" collapsed="false">
      <c r="A52" s="6" t="s">
        <v>67</v>
      </c>
      <c r="B52" s="6" t="s">
        <v>69</v>
      </c>
      <c r="C52" s="10" t="n">
        <v>8799</v>
      </c>
      <c r="D52" s="11" t="n">
        <f aca="false">INT($C52/100)*100+99</f>
        <v>8799</v>
      </c>
      <c r="E52" s="11" t="n">
        <f aca="false">INT($C52/2/100)*100+99</f>
        <v>4399</v>
      </c>
      <c r="F52" s="11" t="n">
        <f aca="false">INT($C52/4/100)*100+99</f>
        <v>2199</v>
      </c>
    </row>
    <row r="53" customFormat="false" ht="15" hidden="false" customHeight="false" outlineLevel="0" collapsed="false">
      <c r="A53" s="6" t="s">
        <v>70</v>
      </c>
      <c r="B53" s="6" t="s">
        <v>71</v>
      </c>
      <c r="C53" s="10" t="n">
        <v>299</v>
      </c>
      <c r="D53" s="11" t="n">
        <f aca="false">INT($C53/100)*100+99</f>
        <v>299</v>
      </c>
      <c r="E53" s="11" t="n">
        <f aca="false">INT($C53/2/100)*100+99</f>
        <v>199</v>
      </c>
      <c r="F53" s="11" t="n">
        <f aca="false">INT($C53/4/100)*100+99</f>
        <v>99</v>
      </c>
    </row>
    <row r="54" customFormat="false" ht="15" hidden="false" customHeight="false" outlineLevel="0" collapsed="false">
      <c r="A54" s="6" t="s">
        <v>70</v>
      </c>
      <c r="B54" s="6" t="s">
        <v>72</v>
      </c>
      <c r="C54" s="10" t="n">
        <v>1899</v>
      </c>
      <c r="D54" s="11" t="n">
        <f aca="false">INT($C54/100)*100+99</f>
        <v>1899</v>
      </c>
      <c r="E54" s="11" t="n">
        <f aca="false">INT($C54/2/100)*100+99</f>
        <v>999</v>
      </c>
      <c r="F54" s="11" t="n">
        <f aca="false">INT($C54/4/100)*100+99</f>
        <v>499</v>
      </c>
    </row>
    <row r="55" customFormat="false" ht="15" hidden="false" customHeight="false" outlineLevel="0" collapsed="false">
      <c r="A55" s="6" t="s">
        <v>70</v>
      </c>
      <c r="B55" s="6" t="s">
        <v>73</v>
      </c>
      <c r="C55" s="10" t="n">
        <v>1899</v>
      </c>
      <c r="D55" s="11" t="n">
        <f aca="false">INT($C55/100)*100+99</f>
        <v>1899</v>
      </c>
      <c r="E55" s="11" t="n">
        <f aca="false">INT($C55/2/100)*100+99</f>
        <v>999</v>
      </c>
      <c r="F55" s="11" t="n">
        <f aca="false">INT($C55/4/100)*100+99</f>
        <v>499</v>
      </c>
    </row>
    <row r="56" customFormat="false" ht="15" hidden="false" customHeight="false" outlineLevel="0" collapsed="false">
      <c r="A56" s="6" t="s">
        <v>70</v>
      </c>
      <c r="B56" s="6" t="s">
        <v>74</v>
      </c>
      <c r="C56" s="10" t="n">
        <v>1899</v>
      </c>
      <c r="D56" s="11" t="n">
        <f aca="false">INT($C56/100)*100+99</f>
        <v>1899</v>
      </c>
      <c r="E56" s="11" t="n">
        <f aca="false">INT($C56/2/100)*100+99</f>
        <v>999</v>
      </c>
      <c r="F56" s="11" t="n">
        <f aca="false">INT($C56/4/100)*100+99</f>
        <v>499</v>
      </c>
    </row>
    <row r="57" customFormat="false" ht="15" hidden="false" customHeight="false" outlineLevel="0" collapsed="false">
      <c r="A57" s="6" t="s">
        <v>75</v>
      </c>
      <c r="B57" s="6" t="s">
        <v>76</v>
      </c>
      <c r="C57" s="10" t="n">
        <v>4299</v>
      </c>
      <c r="D57" s="11" t="n">
        <f aca="false">INT($C57/100)*100+99</f>
        <v>4299</v>
      </c>
      <c r="E57" s="11" t="n">
        <f aca="false">INT($C57/2/100)*100+99</f>
        <v>2199</v>
      </c>
      <c r="F57" s="11" t="n">
        <f aca="false">INT($C57/4/100)*100+99</f>
        <v>1099</v>
      </c>
    </row>
    <row r="58" customFormat="false" ht="15" hidden="false" customHeight="false" outlineLevel="0" collapsed="false">
      <c r="A58" s="6" t="s">
        <v>75</v>
      </c>
      <c r="B58" s="6" t="s">
        <v>77</v>
      </c>
      <c r="C58" s="10" t="n">
        <v>1399</v>
      </c>
      <c r="D58" s="11" t="n">
        <f aca="false">INT($C58/100)*100+99</f>
        <v>1399</v>
      </c>
      <c r="E58" s="11" t="n">
        <f aca="false">INT($C58/2/100)*100+99</f>
        <v>699</v>
      </c>
      <c r="F58" s="11" t="n">
        <f aca="false">INT($C58/4/100)*100+99</f>
        <v>399</v>
      </c>
    </row>
    <row r="59" customFormat="false" ht="15" hidden="false" customHeight="false" outlineLevel="0" collapsed="false">
      <c r="A59" s="6" t="s">
        <v>78</v>
      </c>
      <c r="B59" s="6" t="s">
        <v>79</v>
      </c>
      <c r="C59" s="10" t="n">
        <v>899</v>
      </c>
      <c r="D59" s="11" t="n">
        <f aca="false">INT($C59/100)*100+99</f>
        <v>899</v>
      </c>
      <c r="E59" s="11" t="n">
        <f aca="false">INT($C59/2/100)*100+99</f>
        <v>499</v>
      </c>
      <c r="F59" s="11" t="n">
        <f aca="false">INT($C59/4/100)*100+99</f>
        <v>299</v>
      </c>
    </row>
    <row r="60" customFormat="false" ht="15" hidden="false" customHeight="false" outlineLevel="0" collapsed="false">
      <c r="A60" s="6" t="s">
        <v>78</v>
      </c>
      <c r="B60" s="6" t="s">
        <v>80</v>
      </c>
      <c r="C60" s="10" t="n">
        <v>1099</v>
      </c>
      <c r="D60" s="11" t="n">
        <f aca="false">INT($C60/100)*100+99</f>
        <v>1099</v>
      </c>
      <c r="E60" s="11" t="n">
        <f aca="false">INT($C60/2/100)*100+99</f>
        <v>599</v>
      </c>
      <c r="F60" s="11" t="n">
        <f aca="false">INT($C60/4/100)*100+99</f>
        <v>299</v>
      </c>
    </row>
    <row r="61" customFormat="false" ht="15" hidden="false" customHeight="false" outlineLevel="0" collapsed="false">
      <c r="A61" s="6" t="s">
        <v>78</v>
      </c>
      <c r="B61" s="6" t="s">
        <v>81</v>
      </c>
      <c r="C61" s="10" t="n">
        <v>1199</v>
      </c>
      <c r="D61" s="11" t="n">
        <f aca="false">INT($C61/100)*100+99</f>
        <v>1199</v>
      </c>
      <c r="E61" s="11" t="n">
        <f aca="false">INT($C61/2/100)*100+99</f>
        <v>599</v>
      </c>
      <c r="F61" s="11" t="n">
        <f aca="false">INT($C61/4/100)*100+99</f>
        <v>299</v>
      </c>
    </row>
    <row r="62" customFormat="false" ht="15" hidden="false" customHeight="false" outlineLevel="0" collapsed="false">
      <c r="A62" s="6" t="s">
        <v>82</v>
      </c>
      <c r="B62" s="6" t="s">
        <v>83</v>
      </c>
      <c r="C62" s="10" t="n">
        <v>1599</v>
      </c>
      <c r="D62" s="11" t="n">
        <f aca="false">INT($C62/100)*100+99</f>
        <v>1599</v>
      </c>
      <c r="E62" s="11" t="n">
        <f aca="false">INT($C62/2/100)*100+99</f>
        <v>799</v>
      </c>
      <c r="F62" s="11" t="n">
        <f aca="false">INT($C62/4/100)*100+99</f>
        <v>399</v>
      </c>
    </row>
    <row r="63" customFormat="false" ht="15" hidden="false" customHeight="false" outlineLevel="0" collapsed="false">
      <c r="A63" s="6" t="s">
        <v>82</v>
      </c>
      <c r="B63" s="6" t="s">
        <v>84</v>
      </c>
      <c r="C63" s="10" t="n">
        <v>1599</v>
      </c>
      <c r="D63" s="11" t="n">
        <f aca="false">INT($C63/100)*100+99</f>
        <v>1599</v>
      </c>
      <c r="E63" s="11" t="n">
        <f aca="false">INT($C63/2/100)*100+99</f>
        <v>799</v>
      </c>
      <c r="F63" s="11" t="n">
        <f aca="false">INT($C63/4/100)*100+99</f>
        <v>399</v>
      </c>
    </row>
    <row r="64" customFormat="false" ht="15" hidden="false" customHeight="false" outlineLevel="0" collapsed="false">
      <c r="A64" s="6" t="s">
        <v>82</v>
      </c>
      <c r="B64" s="6" t="s">
        <v>85</v>
      </c>
      <c r="C64" s="10" t="n">
        <v>1399</v>
      </c>
      <c r="D64" s="11" t="n">
        <f aca="false">INT($C64/100)*100+99</f>
        <v>1399</v>
      </c>
      <c r="E64" s="11" t="n">
        <f aca="false">INT($C64/2/100)*100+99</f>
        <v>699</v>
      </c>
      <c r="F64" s="11" t="n">
        <f aca="false">INT($C64/4/100)*100+99</f>
        <v>399</v>
      </c>
    </row>
    <row r="65" customFormat="false" ht="15" hidden="false" customHeight="false" outlineLevel="0" collapsed="false">
      <c r="A65" s="6" t="s">
        <v>82</v>
      </c>
      <c r="B65" s="6" t="s">
        <v>86</v>
      </c>
      <c r="C65" s="10" t="n">
        <v>1599</v>
      </c>
      <c r="D65" s="11" t="n">
        <f aca="false">INT($C65/100)*100+99</f>
        <v>1599</v>
      </c>
      <c r="E65" s="11" t="n">
        <f aca="false">INT($C65/2/100)*100+99</f>
        <v>799</v>
      </c>
      <c r="F65" s="11" t="n">
        <f aca="false">INT($C65/4/100)*100+99</f>
        <v>399</v>
      </c>
    </row>
    <row r="66" customFormat="false" ht="15" hidden="false" customHeight="false" outlineLevel="0" collapsed="false">
      <c r="A66" s="6" t="s">
        <v>82</v>
      </c>
      <c r="B66" s="6" t="s">
        <v>87</v>
      </c>
      <c r="C66" s="10" t="n">
        <v>1599</v>
      </c>
      <c r="D66" s="11" t="n">
        <f aca="false">INT($C66/100)*100+99</f>
        <v>1599</v>
      </c>
      <c r="E66" s="11" t="n">
        <f aca="false">INT($C66/2/100)*100+99</f>
        <v>799</v>
      </c>
      <c r="F66" s="11" t="n">
        <f aca="false">INT($C66/4/100)*100+99</f>
        <v>399</v>
      </c>
    </row>
    <row r="67" customFormat="false" ht="15" hidden="false" customHeight="false" outlineLevel="0" collapsed="false">
      <c r="A67" s="6" t="s">
        <v>88</v>
      </c>
      <c r="B67" s="6" t="s">
        <v>89</v>
      </c>
      <c r="C67" s="10" t="n">
        <v>1599</v>
      </c>
      <c r="D67" s="11" t="n">
        <f aca="false">INT($C67/100)*100+99</f>
        <v>1599</v>
      </c>
      <c r="E67" s="11" t="n">
        <f aca="false">INT($C67/2/100)*100+99</f>
        <v>799</v>
      </c>
      <c r="F67" s="11" t="n">
        <f aca="false">INT($C67/4/100)*100+99</f>
        <v>399</v>
      </c>
    </row>
    <row r="68" customFormat="false" ht="15" hidden="false" customHeight="false" outlineLevel="0" collapsed="false">
      <c r="A68" s="6" t="s">
        <v>88</v>
      </c>
      <c r="B68" s="6" t="s">
        <v>90</v>
      </c>
      <c r="C68" s="10" t="n">
        <v>3699</v>
      </c>
      <c r="D68" s="11" t="n">
        <f aca="false">INT($C68/100)*100+99</f>
        <v>3699</v>
      </c>
      <c r="E68" s="11" t="n">
        <f aca="false">INT($C68/2/100)*100+99</f>
        <v>1899</v>
      </c>
      <c r="F68" s="11" t="n">
        <f aca="false">INT($C68/4/100)*100+99</f>
        <v>999</v>
      </c>
    </row>
    <row r="69" customFormat="false" ht="15" hidden="false" customHeight="false" outlineLevel="0" collapsed="false">
      <c r="A69" s="6" t="s">
        <v>88</v>
      </c>
      <c r="B69" s="6" t="s">
        <v>91</v>
      </c>
      <c r="C69" s="10" t="n">
        <v>1899</v>
      </c>
      <c r="D69" s="11" t="n">
        <f aca="false">INT($C69/100)*100+99</f>
        <v>1899</v>
      </c>
      <c r="E69" s="11" t="n">
        <f aca="false">INT($C69/2/100)*100+99</f>
        <v>999</v>
      </c>
      <c r="F69" s="11" t="n">
        <f aca="false">INT($C69/4/100)*100+99</f>
        <v>499</v>
      </c>
    </row>
    <row r="70" customFormat="false" ht="15" hidden="false" customHeight="false" outlineLevel="0" collapsed="false">
      <c r="A70" s="6" t="s">
        <v>88</v>
      </c>
      <c r="B70" s="6" t="s">
        <v>92</v>
      </c>
      <c r="C70" s="10" t="n">
        <v>1899</v>
      </c>
      <c r="D70" s="11" t="n">
        <f aca="false">INT($C70/100)*100+99</f>
        <v>1899</v>
      </c>
      <c r="E70" s="11" t="n">
        <f aca="false">INT($C70/2/100)*100+99</f>
        <v>999</v>
      </c>
      <c r="F70" s="11" t="n">
        <f aca="false">INT($C70/4/100)*100+99</f>
        <v>499</v>
      </c>
    </row>
    <row r="71" customFormat="false" ht="15" hidden="false" customHeight="false" outlineLevel="0" collapsed="false">
      <c r="A71" s="6" t="s">
        <v>88</v>
      </c>
      <c r="B71" s="6" t="s">
        <v>93</v>
      </c>
      <c r="C71" s="10" t="n">
        <v>1599</v>
      </c>
      <c r="D71" s="11" t="n">
        <f aca="false">INT($C71/100)*100+99</f>
        <v>1599</v>
      </c>
      <c r="E71" s="11" t="n">
        <f aca="false">INT($C71/2/100)*100+99</f>
        <v>799</v>
      </c>
      <c r="F71" s="11" t="n">
        <f aca="false">INT($C71/4/100)*100+99</f>
        <v>399</v>
      </c>
    </row>
    <row r="72" customFormat="false" ht="15" hidden="false" customHeight="false" outlineLevel="0" collapsed="false">
      <c r="A72" s="6" t="s">
        <v>94</v>
      </c>
      <c r="B72" s="6" t="s">
        <v>95</v>
      </c>
      <c r="C72" s="10" t="n">
        <v>1399</v>
      </c>
      <c r="D72" s="11" t="n">
        <f aca="false">INT($C72/100)*100+99</f>
        <v>1399</v>
      </c>
      <c r="E72" s="11" t="n">
        <f aca="false">INT($C72/2/100)*100+99</f>
        <v>699</v>
      </c>
      <c r="F72" s="11" t="n">
        <f aca="false">INT($C72/4/100)*100+99</f>
        <v>399</v>
      </c>
    </row>
    <row r="73" customFormat="false" ht="15" hidden="false" customHeight="false" outlineLevel="0" collapsed="false">
      <c r="A73" s="6" t="s">
        <v>94</v>
      </c>
      <c r="B73" s="6" t="s">
        <v>96</v>
      </c>
      <c r="C73" s="10" t="n">
        <v>2699</v>
      </c>
      <c r="D73" s="11" t="n">
        <f aca="false">INT($C73/100)*100+99</f>
        <v>2699</v>
      </c>
      <c r="E73" s="11" t="n">
        <f aca="false">INT($C73/2/100)*100+99</f>
        <v>1399</v>
      </c>
      <c r="F73" s="11" t="n">
        <f aca="false">INT($C73/4/100)*100+99</f>
        <v>699</v>
      </c>
    </row>
    <row r="74" customFormat="false" ht="15" hidden="false" customHeight="false" outlineLevel="0" collapsed="false">
      <c r="A74" s="6" t="s">
        <v>94</v>
      </c>
      <c r="B74" s="6" t="s">
        <v>97</v>
      </c>
      <c r="C74" s="10" t="n">
        <v>1399</v>
      </c>
      <c r="D74" s="11" t="n">
        <f aca="false">INT($C74/100)*100+99</f>
        <v>1399</v>
      </c>
      <c r="E74" s="11" t="n">
        <f aca="false">INT($C74/2/100)*100+99</f>
        <v>699</v>
      </c>
      <c r="F74" s="11" t="n">
        <f aca="false">INT($C74/4/100)*100+99</f>
        <v>399</v>
      </c>
    </row>
    <row r="75" customFormat="false" ht="15" hidden="false" customHeight="false" outlineLevel="0" collapsed="false">
      <c r="A75" s="6" t="s">
        <v>94</v>
      </c>
      <c r="B75" s="6" t="s">
        <v>98</v>
      </c>
      <c r="C75" s="10" t="n">
        <v>1399</v>
      </c>
      <c r="D75" s="11" t="n">
        <f aca="false">INT($C75/100)*100+99</f>
        <v>1399</v>
      </c>
      <c r="E75" s="11" t="n">
        <f aca="false">INT($C75/2/100)*100+99</f>
        <v>699</v>
      </c>
      <c r="F75" s="11" t="n">
        <f aca="false">INT($C75/4/100)*100+99</f>
        <v>399</v>
      </c>
    </row>
    <row r="76" customFormat="false" ht="15" hidden="false" customHeight="false" outlineLevel="0" collapsed="false">
      <c r="A76" s="6" t="s">
        <v>94</v>
      </c>
      <c r="B76" s="6" t="s">
        <v>99</v>
      </c>
      <c r="C76" s="10" t="n">
        <v>1399</v>
      </c>
      <c r="D76" s="11" t="n">
        <f aca="false">INT($C76/100)*100+99</f>
        <v>1399</v>
      </c>
      <c r="E76" s="11" t="n">
        <f aca="false">INT($C76/2/100)*100+99</f>
        <v>699</v>
      </c>
      <c r="F76" s="11" t="n">
        <f aca="false">INT($C76/4/100)*100+99</f>
        <v>399</v>
      </c>
    </row>
    <row r="77" customFormat="false" ht="15" hidden="false" customHeight="false" outlineLevel="0" collapsed="false">
      <c r="A77" s="6" t="s">
        <v>94</v>
      </c>
      <c r="B77" s="6" t="s">
        <v>100</v>
      </c>
      <c r="C77" s="10" t="n">
        <v>1399</v>
      </c>
      <c r="D77" s="11" t="n">
        <f aca="false">INT($C77/100)*100+99</f>
        <v>1399</v>
      </c>
      <c r="E77" s="11" t="n">
        <f aca="false">INT($C77/2/100)*100+99</f>
        <v>699</v>
      </c>
      <c r="F77" s="11" t="n">
        <f aca="false">INT($C77/4/100)*100+99</f>
        <v>399</v>
      </c>
    </row>
    <row r="78" customFormat="false" ht="15" hidden="false" customHeight="false" outlineLevel="0" collapsed="false">
      <c r="A78" s="6" t="s">
        <v>94</v>
      </c>
      <c r="B78" s="6" t="s">
        <v>101</v>
      </c>
      <c r="C78" s="10" t="n">
        <v>1399</v>
      </c>
      <c r="D78" s="11" t="n">
        <f aca="false">INT($C78/100)*100+99</f>
        <v>1399</v>
      </c>
      <c r="E78" s="11" t="n">
        <f aca="false">INT($C78/2/100)*100+99</f>
        <v>699</v>
      </c>
      <c r="F78" s="11" t="n">
        <f aca="false">INT($C78/4/100)*100+99</f>
        <v>399</v>
      </c>
    </row>
    <row r="79" customFormat="false" ht="15" hidden="false" customHeight="false" outlineLevel="0" collapsed="false">
      <c r="A79" s="6" t="s">
        <v>94</v>
      </c>
      <c r="B79" s="6" t="s">
        <v>102</v>
      </c>
      <c r="C79" s="10" t="n">
        <v>1399</v>
      </c>
      <c r="D79" s="11" t="n">
        <f aca="false">INT($C79/100)*100+99</f>
        <v>1399</v>
      </c>
      <c r="E79" s="11" t="n">
        <f aca="false">INT($C79/2/100)*100+99</f>
        <v>699</v>
      </c>
      <c r="F79" s="11" t="n">
        <f aca="false">INT($C79/4/100)*100+99</f>
        <v>399</v>
      </c>
    </row>
    <row r="80" customFormat="false" ht="15" hidden="false" customHeight="false" outlineLevel="0" collapsed="false">
      <c r="A80" s="6" t="s">
        <v>94</v>
      </c>
      <c r="B80" s="6" t="s">
        <v>103</v>
      </c>
      <c r="C80" s="10" t="n">
        <v>2699</v>
      </c>
      <c r="D80" s="11" t="n">
        <f aca="false">INT($C80/100)*100+99</f>
        <v>2699</v>
      </c>
      <c r="E80" s="11" t="n">
        <f aca="false">INT($C80/2/100)*100+99</f>
        <v>1399</v>
      </c>
      <c r="F80" s="11" t="n">
        <f aca="false">INT($C80/4/100)*100+99</f>
        <v>699</v>
      </c>
    </row>
    <row r="81" customFormat="false" ht="15" hidden="false" customHeight="false" outlineLevel="0" collapsed="false">
      <c r="A81" s="6" t="s">
        <v>94</v>
      </c>
      <c r="B81" s="6" t="s">
        <v>104</v>
      </c>
      <c r="C81" s="10" t="n">
        <v>1999</v>
      </c>
      <c r="D81" s="11" t="n">
        <f aca="false">INT($C81/100)*100+99</f>
        <v>1999</v>
      </c>
      <c r="E81" s="11" t="n">
        <f aca="false">INT($C81/2/100)*100+99</f>
        <v>999</v>
      </c>
      <c r="F81" s="11" t="n">
        <f aca="false">INT($C81/4/100)*100+99</f>
        <v>499</v>
      </c>
    </row>
    <row r="82" customFormat="false" ht="15" hidden="false" customHeight="false" outlineLevel="0" collapsed="false">
      <c r="A82" s="6" t="s">
        <v>94</v>
      </c>
      <c r="B82" s="6" t="s">
        <v>105</v>
      </c>
      <c r="C82" s="10" t="n">
        <v>1399</v>
      </c>
      <c r="D82" s="11" t="n">
        <f aca="false">INT($C82/100)*100+99</f>
        <v>1399</v>
      </c>
      <c r="E82" s="11" t="n">
        <f aca="false">INT($C82/2/100)*100+99</f>
        <v>699</v>
      </c>
      <c r="F82" s="11" t="n">
        <f aca="false">INT($C82/4/100)*100+99</f>
        <v>399</v>
      </c>
    </row>
    <row r="83" customFormat="false" ht="15" hidden="false" customHeight="false" outlineLevel="0" collapsed="false">
      <c r="A83" s="6" t="s">
        <v>94</v>
      </c>
      <c r="B83" s="6" t="s">
        <v>106</v>
      </c>
      <c r="C83" s="10" t="n">
        <v>1399</v>
      </c>
      <c r="D83" s="11" t="n">
        <f aca="false">INT($C83/100)*100+99</f>
        <v>1399</v>
      </c>
      <c r="E83" s="11" t="n">
        <f aca="false">INT($C83/2/100)*100+99</f>
        <v>699</v>
      </c>
      <c r="F83" s="11" t="n">
        <f aca="false">INT($C83/4/100)*100+99</f>
        <v>399</v>
      </c>
    </row>
    <row r="84" customFormat="false" ht="15" hidden="false" customHeight="false" outlineLevel="0" collapsed="false">
      <c r="A84" s="6" t="s">
        <v>107</v>
      </c>
      <c r="B84" s="6" t="s">
        <v>108</v>
      </c>
      <c r="C84" s="10" t="n">
        <v>1299</v>
      </c>
      <c r="D84" s="11" t="n">
        <f aca="false">INT($C84/100)*100+99</f>
        <v>1299</v>
      </c>
      <c r="E84" s="11" t="n">
        <f aca="false">INT($C84/2/100)*100+99</f>
        <v>699</v>
      </c>
      <c r="F84" s="11" t="n">
        <f aca="false">INT($C84/4/100)*100+99</f>
        <v>399</v>
      </c>
    </row>
    <row r="85" customFormat="false" ht="15" hidden="false" customHeight="false" outlineLevel="0" collapsed="false">
      <c r="A85" s="6" t="s">
        <v>107</v>
      </c>
      <c r="B85" s="6" t="s">
        <v>109</v>
      </c>
      <c r="C85" s="10" t="n">
        <v>1299</v>
      </c>
      <c r="D85" s="11" t="n">
        <f aca="false">INT($C85/100)*100+99</f>
        <v>1299</v>
      </c>
      <c r="E85" s="11" t="n">
        <f aca="false">INT($C85/2/100)*100+99</f>
        <v>699</v>
      </c>
      <c r="F85" s="11" t="n">
        <f aca="false">INT($C85/4/100)*100+99</f>
        <v>399</v>
      </c>
    </row>
    <row r="86" customFormat="false" ht="15" hidden="false" customHeight="false" outlineLevel="0" collapsed="false">
      <c r="A86" s="6" t="s">
        <v>107</v>
      </c>
      <c r="B86" s="6" t="s">
        <v>110</v>
      </c>
      <c r="C86" s="10" t="n">
        <v>1199</v>
      </c>
      <c r="D86" s="11" t="n">
        <f aca="false">INT($C86/100)*100+99</f>
        <v>1199</v>
      </c>
      <c r="E86" s="11" t="n">
        <f aca="false">INT($C86/2/100)*100+99</f>
        <v>599</v>
      </c>
      <c r="F86" s="11" t="n">
        <f aca="false">INT($C86/4/100)*100+99</f>
        <v>299</v>
      </c>
    </row>
    <row r="88" customFormat="false" ht="15" hidden="false" customHeight="false" outlineLevel="0" collapsed="false">
      <c r="A88" s="1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30" hidden="false" customHeight="true" outlineLevel="0" collapsed="false">
      <c r="A1" s="3" t="s">
        <v>112</v>
      </c>
      <c r="B1" s="3" t="s">
        <v>115</v>
      </c>
      <c r="C1" s="3" t="s">
        <v>116</v>
      </c>
      <c r="D1" s="3" t="s">
        <v>117</v>
      </c>
      <c r="E1" s="3" t="s">
        <v>118</v>
      </c>
    </row>
    <row r="2" customFormat="false" ht="15" hidden="false" customHeight="false" outlineLevel="0" collapsed="false">
      <c r="A2" s="6" t="s">
        <v>7</v>
      </c>
      <c r="B2" s="6" t="n">
        <f aca="false">COUNTIF('All Products (Filterable)'!$A$2:$A$86,$A2)</f>
        <v>7</v>
      </c>
      <c r="C2" s="11" t="n">
        <f aca="false">_xlfn.MINIFS('All Products (Filterable)'!$D$2:$D$86,'All Products (Filterable)'!$A$2:$A$86,$A2)</f>
        <v>1899</v>
      </c>
      <c r="D2" s="11" t="n">
        <f aca="false">_xlfn.MAXIFS('All Products (Filterable)'!$D$2:$D$86,'All Products (Filterable)'!$A$2:$A$86,$A2)</f>
        <v>2699</v>
      </c>
      <c r="E2" s="11" t="n">
        <f aca="false">SUMIF('All Products (Filterable)'!$A$2:$A$86,$A2,'All Products (Filterable)'!$D$2:$D$86)/$B2</f>
        <v>2270.42857142857</v>
      </c>
    </row>
    <row r="3" customFormat="false" ht="15" hidden="false" customHeight="false" outlineLevel="0" collapsed="false">
      <c r="A3" s="6" t="s">
        <v>15</v>
      </c>
      <c r="B3" s="6" t="n">
        <f aca="false">COUNTIF('All Products (Filterable)'!$A$2:$A$86,$A3)</f>
        <v>3</v>
      </c>
      <c r="C3" s="11" t="n">
        <f aca="false">_xlfn.MINIFS('All Products (Filterable)'!$D$2:$D$86,'All Products (Filterable)'!$A$2:$A$86,$A3)</f>
        <v>1599</v>
      </c>
      <c r="D3" s="11" t="n">
        <f aca="false">_xlfn.MAXIFS('All Products (Filterable)'!$D$2:$D$86,'All Products (Filterable)'!$A$2:$A$86,$A3)</f>
        <v>2499</v>
      </c>
      <c r="E3" s="11" t="n">
        <f aca="false">SUMIF('All Products (Filterable)'!$A$2:$A$86,$A3,'All Products (Filterable)'!$D$2:$D$86)/$B3</f>
        <v>2099</v>
      </c>
    </row>
    <row r="4" customFormat="false" ht="15" hidden="false" customHeight="false" outlineLevel="0" collapsed="false">
      <c r="A4" s="6" t="s">
        <v>19</v>
      </c>
      <c r="B4" s="6" t="n">
        <f aca="false">COUNTIF('All Products (Filterable)'!$A$2:$A$86,$A4)</f>
        <v>3</v>
      </c>
      <c r="C4" s="11" t="n">
        <f aca="false">_xlfn.MINIFS('All Products (Filterable)'!$D$2:$D$86,'All Products (Filterable)'!$A$2:$A$86,$A4)</f>
        <v>5999</v>
      </c>
      <c r="D4" s="11" t="n">
        <f aca="false">_xlfn.MAXIFS('All Products (Filterable)'!$D$2:$D$86,'All Products (Filterable)'!$A$2:$A$86,$A4)</f>
        <v>7999</v>
      </c>
      <c r="E4" s="11" t="n">
        <f aca="false">SUMIF('All Products (Filterable)'!$A$2:$A$86,$A4,'All Products (Filterable)'!$D$2:$D$86)/$B4</f>
        <v>6865.66666666667</v>
      </c>
    </row>
    <row r="5" customFormat="false" ht="15" hidden="false" customHeight="false" outlineLevel="0" collapsed="false">
      <c r="A5" s="6" t="s">
        <v>23</v>
      </c>
      <c r="B5" s="6" t="n">
        <f aca="false">COUNTIF('All Products (Filterable)'!$A$2:$A$86,$A5)</f>
        <v>4</v>
      </c>
      <c r="C5" s="11" t="n">
        <f aca="false">_xlfn.MINIFS('All Products (Filterable)'!$D$2:$D$86,'All Products (Filterable)'!$A$2:$A$86,$A5)</f>
        <v>2199</v>
      </c>
      <c r="D5" s="11" t="n">
        <f aca="false">_xlfn.MAXIFS('All Products (Filterable)'!$D$2:$D$86,'All Products (Filterable)'!$A$2:$A$86,$A5)</f>
        <v>4899</v>
      </c>
      <c r="E5" s="11" t="n">
        <f aca="false">SUMIF('All Products (Filterable)'!$A$2:$A$86,$A5,'All Products (Filterable)'!$D$2:$D$86)/$B5</f>
        <v>3474</v>
      </c>
    </row>
    <row r="6" customFormat="false" ht="15" hidden="false" customHeight="false" outlineLevel="0" collapsed="false">
      <c r="A6" s="6" t="s">
        <v>28</v>
      </c>
      <c r="B6" s="6" t="n">
        <f aca="false">COUNTIF('All Products (Filterable)'!$A$2:$A$86,$A6)</f>
        <v>6</v>
      </c>
      <c r="C6" s="11" t="n">
        <f aca="false">_xlfn.MINIFS('All Products (Filterable)'!$D$2:$D$86,'All Products (Filterable)'!$A$2:$A$86,$A6)</f>
        <v>1199</v>
      </c>
      <c r="D6" s="11" t="n">
        <f aca="false">_xlfn.MAXIFS('All Products (Filterable)'!$D$2:$D$86,'All Products (Filterable)'!$A$2:$A$86,$A6)</f>
        <v>2699</v>
      </c>
      <c r="E6" s="11" t="n">
        <f aca="false">SUMIF('All Products (Filterable)'!$A$2:$A$86,$A6,'All Products (Filterable)'!$D$2:$D$86)/$B6</f>
        <v>1832.33333333333</v>
      </c>
    </row>
    <row r="7" customFormat="false" ht="15" hidden="false" customHeight="false" outlineLevel="0" collapsed="false">
      <c r="A7" s="6" t="s">
        <v>35</v>
      </c>
      <c r="B7" s="6" t="n">
        <f aca="false">COUNTIF('All Products (Filterable)'!$A$2:$A$86,$A7)</f>
        <v>3</v>
      </c>
      <c r="C7" s="11" t="n">
        <f aca="false">_xlfn.MINIFS('All Products (Filterable)'!$D$2:$D$86,'All Products (Filterable)'!$A$2:$A$86,$A7)</f>
        <v>2699</v>
      </c>
      <c r="D7" s="11" t="n">
        <f aca="false">_xlfn.MAXIFS('All Products (Filterable)'!$D$2:$D$86,'All Products (Filterable)'!$A$2:$A$86,$A7)</f>
        <v>4599</v>
      </c>
      <c r="E7" s="11" t="n">
        <f aca="false">SUMIF('All Products (Filterable)'!$A$2:$A$86,$A7,'All Products (Filterable)'!$D$2:$D$86)/$B7</f>
        <v>3499</v>
      </c>
    </row>
    <row r="8" customFormat="false" ht="15" hidden="false" customHeight="false" outlineLevel="0" collapsed="false">
      <c r="A8" s="6" t="s">
        <v>39</v>
      </c>
      <c r="B8" s="6" t="n">
        <f aca="false">COUNTIF('All Products (Filterable)'!$A$2:$A$86,$A8)</f>
        <v>3</v>
      </c>
      <c r="C8" s="11" t="n">
        <f aca="false">_xlfn.MINIFS('All Products (Filterable)'!$D$2:$D$86,'All Products (Filterable)'!$A$2:$A$86,$A8)</f>
        <v>1899</v>
      </c>
      <c r="D8" s="11" t="n">
        <f aca="false">_xlfn.MAXIFS('All Products (Filterable)'!$D$2:$D$86,'All Products (Filterable)'!$A$2:$A$86,$A8)</f>
        <v>3999</v>
      </c>
      <c r="E8" s="11" t="n">
        <f aca="false">SUMIF('All Products (Filterable)'!$A$2:$A$86,$A8,'All Products (Filterable)'!$D$2:$D$86)/$B8</f>
        <v>2799</v>
      </c>
    </row>
    <row r="9" customFormat="false" ht="15" hidden="false" customHeight="false" outlineLevel="0" collapsed="false">
      <c r="A9" s="6" t="s">
        <v>43</v>
      </c>
      <c r="B9" s="6" t="n">
        <f aca="false">COUNTIF('All Products (Filterable)'!$A$2:$A$86,$A9)</f>
        <v>2</v>
      </c>
      <c r="C9" s="11" t="n">
        <f aca="false">_xlfn.MINIFS('All Products (Filterable)'!$D$2:$D$86,'All Products (Filterable)'!$A$2:$A$86,$A9)</f>
        <v>8499</v>
      </c>
      <c r="D9" s="11" t="n">
        <f aca="false">_xlfn.MAXIFS('All Products (Filterable)'!$D$2:$D$86,'All Products (Filterable)'!$A$2:$A$86,$A9)</f>
        <v>10599</v>
      </c>
      <c r="E9" s="11" t="n">
        <f aca="false">SUMIF('All Products (Filterable)'!$A$2:$A$86,$A9,'All Products (Filterable)'!$D$2:$D$86)/$B9</f>
        <v>9549</v>
      </c>
    </row>
    <row r="10" customFormat="false" ht="15" hidden="false" customHeight="false" outlineLevel="0" collapsed="false">
      <c r="A10" s="6" t="s">
        <v>46</v>
      </c>
      <c r="B10" s="6" t="n">
        <f aca="false">COUNTIF('All Products (Filterable)'!$A$2:$A$86,$A10)</f>
        <v>5</v>
      </c>
      <c r="C10" s="11" t="n">
        <f aca="false">_xlfn.MINIFS('All Products (Filterable)'!$D$2:$D$86,'All Products (Filterable)'!$A$2:$A$86,$A10)</f>
        <v>2199</v>
      </c>
      <c r="D10" s="11" t="n">
        <f aca="false">_xlfn.MAXIFS('All Products (Filterable)'!$D$2:$D$86,'All Products (Filterable)'!$A$2:$A$86,$A10)</f>
        <v>5999</v>
      </c>
      <c r="E10" s="11" t="n">
        <f aca="false">SUMIF('All Products (Filterable)'!$A$2:$A$86,$A10,'All Products (Filterable)'!$D$2:$D$86)/$B10</f>
        <v>4279</v>
      </c>
    </row>
    <row r="11" customFormat="false" ht="15" hidden="false" customHeight="false" outlineLevel="0" collapsed="false">
      <c r="A11" s="6" t="s">
        <v>52</v>
      </c>
      <c r="B11" s="6" t="n">
        <f aca="false">COUNTIF('All Products (Filterable)'!$A$2:$A$86,$A11)</f>
        <v>1</v>
      </c>
      <c r="C11" s="11" t="n">
        <f aca="false">_xlfn.MINIFS('All Products (Filterable)'!$D$2:$D$86,'All Products (Filterable)'!$A$2:$A$86,$A11)</f>
        <v>2199</v>
      </c>
      <c r="D11" s="11" t="n">
        <f aca="false">_xlfn.MAXIFS('All Products (Filterable)'!$D$2:$D$86,'All Products (Filterable)'!$A$2:$A$86,$A11)</f>
        <v>2199</v>
      </c>
      <c r="E11" s="11" t="n">
        <f aca="false">SUMIF('All Products (Filterable)'!$A$2:$A$86,$A11,'All Products (Filterable)'!$D$2:$D$86)/$B11</f>
        <v>2199</v>
      </c>
    </row>
    <row r="12" customFormat="false" ht="15" hidden="false" customHeight="false" outlineLevel="0" collapsed="false">
      <c r="A12" s="6" t="s">
        <v>53</v>
      </c>
      <c r="B12" s="6" t="n">
        <f aca="false">COUNTIF('All Products (Filterable)'!$A$2:$A$86,$A12)</f>
        <v>2</v>
      </c>
      <c r="C12" s="11" t="n">
        <f aca="false">_xlfn.MINIFS('All Products (Filterable)'!$D$2:$D$86,'All Products (Filterable)'!$A$2:$A$86,$A12)</f>
        <v>1899</v>
      </c>
      <c r="D12" s="11" t="n">
        <f aca="false">_xlfn.MAXIFS('All Products (Filterable)'!$D$2:$D$86,'All Products (Filterable)'!$A$2:$A$86,$A12)</f>
        <v>2799</v>
      </c>
      <c r="E12" s="11" t="n">
        <f aca="false">SUMIF('All Products (Filterable)'!$A$2:$A$86,$A12,'All Products (Filterable)'!$D$2:$D$86)/$B12</f>
        <v>2349</v>
      </c>
    </row>
    <row r="13" customFormat="false" ht="15" hidden="false" customHeight="false" outlineLevel="0" collapsed="false">
      <c r="A13" s="6" t="s">
        <v>56</v>
      </c>
      <c r="B13" s="6" t="n">
        <f aca="false">COUNTIF('All Products (Filterable)'!$A$2:$A$86,$A13)</f>
        <v>10</v>
      </c>
      <c r="C13" s="11" t="n">
        <f aca="false">_xlfn.MINIFS('All Products (Filterable)'!$D$2:$D$86,'All Products (Filterable)'!$A$2:$A$86,$A13)</f>
        <v>799</v>
      </c>
      <c r="D13" s="11" t="n">
        <f aca="false">_xlfn.MAXIFS('All Products (Filterable)'!$D$2:$D$86,'All Products (Filterable)'!$A$2:$A$86,$A13)</f>
        <v>3699</v>
      </c>
      <c r="E13" s="11" t="n">
        <f aca="false">SUMIF('All Products (Filterable)'!$A$2:$A$86,$A13,'All Products (Filterable)'!$D$2:$D$86)/$B13</f>
        <v>1509</v>
      </c>
    </row>
    <row r="14" customFormat="false" ht="15" hidden="false" customHeight="false" outlineLevel="0" collapsed="false">
      <c r="A14" s="6" t="s">
        <v>67</v>
      </c>
      <c r="B14" s="6" t="n">
        <f aca="false">COUNTIF('All Products (Filterable)'!$A$2:$A$86,$A14)</f>
        <v>2</v>
      </c>
      <c r="C14" s="11" t="n">
        <f aca="false">_xlfn.MINIFS('All Products (Filterable)'!$D$2:$D$86,'All Products (Filterable)'!$A$2:$A$86,$A14)</f>
        <v>8799</v>
      </c>
      <c r="D14" s="11" t="n">
        <f aca="false">_xlfn.MAXIFS('All Products (Filterable)'!$D$2:$D$86,'All Products (Filterable)'!$A$2:$A$86,$A14)</f>
        <v>9299</v>
      </c>
      <c r="E14" s="11" t="n">
        <f aca="false">SUMIF('All Products (Filterable)'!$A$2:$A$86,$A14,'All Products (Filterable)'!$D$2:$D$86)/$B14</f>
        <v>9049</v>
      </c>
    </row>
    <row r="15" customFormat="false" ht="15" hidden="false" customHeight="false" outlineLevel="0" collapsed="false">
      <c r="A15" s="6" t="s">
        <v>70</v>
      </c>
      <c r="B15" s="6" t="n">
        <f aca="false">COUNTIF('All Products (Filterable)'!$A$2:$A$86,$A15)</f>
        <v>4</v>
      </c>
      <c r="C15" s="11" t="n">
        <f aca="false">_xlfn.MINIFS('All Products (Filterable)'!$D$2:$D$86,'All Products (Filterable)'!$A$2:$A$86,$A15)</f>
        <v>299</v>
      </c>
      <c r="D15" s="11" t="n">
        <f aca="false">_xlfn.MAXIFS('All Products (Filterable)'!$D$2:$D$86,'All Products (Filterable)'!$A$2:$A$86,$A15)</f>
        <v>1899</v>
      </c>
      <c r="E15" s="11" t="n">
        <f aca="false">SUMIF('All Products (Filterable)'!$A$2:$A$86,$A15,'All Products (Filterable)'!$D$2:$D$86)/$B15</f>
        <v>1499</v>
      </c>
    </row>
    <row r="16" customFormat="false" ht="15" hidden="false" customHeight="false" outlineLevel="0" collapsed="false">
      <c r="A16" s="6" t="s">
        <v>75</v>
      </c>
      <c r="B16" s="6" t="n">
        <f aca="false">COUNTIF('All Products (Filterable)'!$A$2:$A$86,$A16)</f>
        <v>2</v>
      </c>
      <c r="C16" s="11" t="n">
        <f aca="false">_xlfn.MINIFS('All Products (Filterable)'!$D$2:$D$86,'All Products (Filterable)'!$A$2:$A$86,$A16)</f>
        <v>1399</v>
      </c>
      <c r="D16" s="11" t="n">
        <f aca="false">_xlfn.MAXIFS('All Products (Filterable)'!$D$2:$D$86,'All Products (Filterable)'!$A$2:$A$86,$A16)</f>
        <v>4299</v>
      </c>
      <c r="E16" s="11" t="n">
        <f aca="false">SUMIF('All Products (Filterable)'!$A$2:$A$86,$A16,'All Products (Filterable)'!$D$2:$D$86)/$B16</f>
        <v>2849</v>
      </c>
    </row>
    <row r="17" customFormat="false" ht="15" hidden="false" customHeight="false" outlineLevel="0" collapsed="false">
      <c r="A17" s="6" t="s">
        <v>78</v>
      </c>
      <c r="B17" s="6" t="n">
        <f aca="false">COUNTIF('All Products (Filterable)'!$A$2:$A$86,$A17)</f>
        <v>3</v>
      </c>
      <c r="C17" s="11" t="n">
        <f aca="false">_xlfn.MINIFS('All Products (Filterable)'!$D$2:$D$86,'All Products (Filterable)'!$A$2:$A$86,$A17)</f>
        <v>899</v>
      </c>
      <c r="D17" s="11" t="n">
        <f aca="false">_xlfn.MAXIFS('All Products (Filterable)'!$D$2:$D$86,'All Products (Filterable)'!$A$2:$A$86,$A17)</f>
        <v>1199</v>
      </c>
      <c r="E17" s="11" t="n">
        <f aca="false">SUMIF('All Products (Filterable)'!$A$2:$A$86,$A17,'All Products (Filterable)'!$D$2:$D$86)/$B17</f>
        <v>1065.66666666667</v>
      </c>
    </row>
    <row r="18" customFormat="false" ht="15" hidden="false" customHeight="false" outlineLevel="0" collapsed="false">
      <c r="A18" s="6" t="s">
        <v>82</v>
      </c>
      <c r="B18" s="6" t="n">
        <f aca="false">COUNTIF('All Products (Filterable)'!$A$2:$A$86,$A18)</f>
        <v>5</v>
      </c>
      <c r="C18" s="11" t="n">
        <f aca="false">_xlfn.MINIFS('All Products (Filterable)'!$D$2:$D$86,'All Products (Filterable)'!$A$2:$A$86,$A18)</f>
        <v>1399</v>
      </c>
      <c r="D18" s="11" t="n">
        <f aca="false">_xlfn.MAXIFS('All Products (Filterable)'!$D$2:$D$86,'All Products (Filterable)'!$A$2:$A$86,$A18)</f>
        <v>1599</v>
      </c>
      <c r="E18" s="11" t="n">
        <f aca="false">SUMIF('All Products (Filterable)'!$A$2:$A$86,$A18,'All Products (Filterable)'!$D$2:$D$86)/$B18</f>
        <v>1559</v>
      </c>
    </row>
    <row r="19" customFormat="false" ht="15" hidden="false" customHeight="false" outlineLevel="0" collapsed="false">
      <c r="A19" s="6" t="s">
        <v>88</v>
      </c>
      <c r="B19" s="6" t="n">
        <f aca="false">COUNTIF('All Products (Filterable)'!$A$2:$A$86,$A19)</f>
        <v>5</v>
      </c>
      <c r="C19" s="11" t="n">
        <f aca="false">_xlfn.MINIFS('All Products (Filterable)'!$D$2:$D$86,'All Products (Filterable)'!$A$2:$A$86,$A19)</f>
        <v>1599</v>
      </c>
      <c r="D19" s="11" t="n">
        <f aca="false">_xlfn.MAXIFS('All Products (Filterable)'!$D$2:$D$86,'All Products (Filterable)'!$A$2:$A$86,$A19)</f>
        <v>3699</v>
      </c>
      <c r="E19" s="11" t="n">
        <f aca="false">SUMIF('All Products (Filterable)'!$A$2:$A$86,$A19,'All Products (Filterable)'!$D$2:$D$86)/$B19</f>
        <v>2139</v>
      </c>
    </row>
    <row r="20" customFormat="false" ht="15" hidden="false" customHeight="false" outlineLevel="0" collapsed="false">
      <c r="A20" s="6" t="s">
        <v>94</v>
      </c>
      <c r="B20" s="6" t="n">
        <f aca="false">COUNTIF('All Products (Filterable)'!$A$2:$A$86,$A20)</f>
        <v>12</v>
      </c>
      <c r="C20" s="11" t="n">
        <f aca="false">_xlfn.MINIFS('All Products (Filterable)'!$D$2:$D$86,'All Products (Filterable)'!$A$2:$A$86,$A20)</f>
        <v>1399</v>
      </c>
      <c r="D20" s="11" t="n">
        <f aca="false">_xlfn.MAXIFS('All Products (Filterable)'!$D$2:$D$86,'All Products (Filterable)'!$A$2:$A$86,$A20)</f>
        <v>2699</v>
      </c>
      <c r="E20" s="11" t="n">
        <f aca="false">SUMIF('All Products (Filterable)'!$A$2:$A$86,$A20,'All Products (Filterable)'!$D$2:$D$86)/$B20</f>
        <v>1665.66666666667</v>
      </c>
    </row>
    <row r="21" customFormat="false" ht="15" hidden="false" customHeight="false" outlineLevel="0" collapsed="false">
      <c r="A21" s="6" t="s">
        <v>107</v>
      </c>
      <c r="B21" s="6" t="n">
        <f aca="false">COUNTIF('All Products (Filterable)'!$A$2:$A$86,$A21)</f>
        <v>3</v>
      </c>
      <c r="C21" s="11" t="n">
        <f aca="false">_xlfn.MINIFS('All Products (Filterable)'!$D$2:$D$86,'All Products (Filterable)'!$A$2:$A$86,$A21)</f>
        <v>1199</v>
      </c>
      <c r="D21" s="11" t="n">
        <f aca="false">_xlfn.MAXIFS('All Products (Filterable)'!$D$2:$D$86,'All Products (Filterable)'!$A$2:$A$86,$A21)</f>
        <v>1299</v>
      </c>
      <c r="E21" s="11" t="n">
        <f aca="false">SUMIF('All Products (Filterable)'!$A$2:$A$86,$A21,'All Products (Filterable)'!$D$2:$D$86)/$B21</f>
        <v>1265.66666666667</v>
      </c>
    </row>
    <row r="22" customFormat="false" ht="15" hidden="false" customHeight="false" outlineLevel="0" collapsed="false">
      <c r="A22" s="8" t="s">
        <v>119</v>
      </c>
      <c r="B22" s="8" t="n">
        <f aca="false">SUM(B2:B21)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2026-07-23T13:31:39Z</dcterms:created>
  <dc:creator>openpyxl</dc:creator>
  <dc:description/>
  <dc:language>en-US</dc:language>
  <cp:lastModifiedBy/>
  <dcterms:modified xsi:type="dcterms:W3CDTF">2026-07-23T13:31:39Z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