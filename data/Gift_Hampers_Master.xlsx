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t Hampers" sheetId="1" state="visible" r:id="rId1"/>
    <sheet xmlns:r="http://schemas.openxmlformats.org/officeDocument/2006/relationships" name="Hamper Line Items" sheetId="2" state="visible" r:id="rId2"/>
    <sheet xmlns:r="http://schemas.openxmlformats.org/officeDocument/2006/relationships" name="Catalog Price Map" sheetId="3" state="visible" r:id="rId3"/>
  </sheets>
  <definedNames>
    <definedName name="_xlnm._FilterDatabase" localSheetId="0" hidden="1">'Gift Hampers'!$A$3:$M$13</definedName>
    <definedName name="_xlnm.Print_Titles" localSheetId="0">'Gift Hampers'!$1:$3</definedName>
    <definedName name="_xlnm._FilterDatabase" localSheetId="1" hidden="1">'Hamper Line Items'!$A$3:$M$57</definedName>
    <definedName name="_xlnm.Print_Titles" localSheetId="1">'Hamper Line Items'!$1:$3</definedName>
    <definedName name="_xlnm.Print_Titles" localSheetId="2">'Catalog Price Map'!$1:$3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4E3D"/>
      <sz val="9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1F4E3D"/>
      <sz val="10"/>
    </font>
    <font>
      <name val="Arial"/>
      <b val="1"/>
      <color rgb="001A1A1A"/>
      <sz val="10"/>
    </font>
    <font>
      <name val="Arial"/>
      <b val="1"/>
      <color rgb="00FFFFFF"/>
      <sz val="10"/>
    </font>
    <font>
      <name val="Arial"/>
      <color rgb="001F4E3D"/>
      <sz val="10"/>
    </font>
  </fonts>
  <fills count="8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F7F1E8"/>
      </patternFill>
    </fill>
    <fill>
      <patternFill patternType="solid">
        <fgColor rgb="00FFFFFF"/>
      </patternFill>
    </fill>
    <fill>
      <patternFill patternType="solid">
        <fgColor rgb="00F4EFE6"/>
      </patternFill>
    </fill>
    <fill>
      <patternFill patternType="solid">
        <fgColor rgb="00E7F0EA"/>
      </patternFill>
    </fill>
    <fill>
      <patternFill patternType="solid">
        <fgColor rgb="00F7EFE0"/>
      </patternFill>
    </fill>
  </fills>
  <borders count="2">
    <border>
      <left/>
      <right/>
      <top/>
      <bottom/>
      <diagonal/>
    </border>
    <border>
      <left style="thin">
        <color rgb="00D9D0C1"/>
      </left>
      <right style="thin">
        <color rgb="00D9D0C1"/>
      </right>
      <top style="thin">
        <color rgb="00D9D0C1"/>
      </top>
      <bottom style="thin">
        <color rgb="00D9D0C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right" vertical="center"/>
    </xf>
    <xf numFmtId="0" fontId="8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2" customWidth="1" min="4" max="4"/>
    <col width="12" customWidth="1" min="5" max="5"/>
    <col width="62" customWidth="1" min="6" max="6"/>
    <col width="20" customWidth="1" min="7" max="7"/>
    <col width="24" customWidth="1" min="8" max="8"/>
    <col width="24" customWidth="1" min="9" max="9"/>
    <col width="24" customWidth="1" min="10" max="10"/>
    <col width="36" customWidth="1" min="11" max="11"/>
    <col width="62" customWidth="1" min="12" max="12"/>
    <col width="12" customWidth="1" min="13" max="13"/>
  </cols>
  <sheetData>
    <row r="1" ht="30" customHeight="1">
      <c r="A1" s="1" t="inlineStr">
        <is>
          <t>GIFT HAMPERS  —  MASTER SHEET   |   Sukhmal Dry Fruits Korner</t>
        </is>
      </c>
    </row>
    <row r="2" ht="48" customHeight="1">
      <c r="A2" s="2" t="inlineStr">
        <is>
          <t>HOW TO USE:   Each row is one ready-made hamper.    Products Total = catalog selling price of the edible fill.    Tray / Basket / Box = Hamper Selling Price − Products Total.    Check must equal Hamper Selling Price.    Line-item breakdown is on the next sheet.    Build-Your-Own Hamper on the website charges the tray/basket/box price only; the customer then adds products.</t>
        </is>
      </c>
    </row>
    <row r="3" ht="34" customHeight="1">
      <c r="A3" s="3" t="inlineStr">
        <is>
          <t>S. No.</t>
        </is>
      </c>
      <c r="B3" s="3" t="inlineStr">
        <is>
          <t>Hamper Name</t>
        </is>
      </c>
      <c r="C3" s="3" t="inlineStr">
        <is>
          <t>Packaging Type</t>
        </is>
      </c>
      <c r="D3" s="3" t="inlineStr">
        <is>
          <t>Tier</t>
        </is>
      </c>
      <c r="E3" s="3" t="inlineStr">
        <is>
          <t>Net Weight</t>
        </is>
      </c>
      <c r="F3" s="3" t="inlineStr">
        <is>
          <t>Contents</t>
        </is>
      </c>
      <c r="G3" s="3" t="inlineStr">
        <is>
          <t>Products Total (Rs.)</t>
        </is>
      </c>
      <c r="H3" s="3" t="inlineStr">
        <is>
          <t>Tray / Basket / Box (Rs.)</t>
        </is>
      </c>
      <c r="I3" s="3" t="inlineStr">
        <is>
          <t>Hamper Selling Price (Rs.)</t>
        </is>
      </c>
      <c r="J3" s="3" t="inlineStr">
        <is>
          <t>Check (Products + Tray)</t>
        </is>
      </c>
      <c r="K3" s="3" t="inlineStr">
        <is>
          <t>Occasions</t>
        </is>
      </c>
      <c r="L3" s="3" t="inlineStr">
        <is>
          <t>Description</t>
        </is>
      </c>
      <c r="M3" s="3" t="inlineStr">
        <is>
          <t>Status</t>
        </is>
      </c>
    </row>
    <row r="4" ht="48" customHeight="1">
      <c r="A4" s="4" t="n">
        <v>1</v>
      </c>
      <c r="B4" s="5" t="inlineStr">
        <is>
          <t>Silver Crystal Tray</t>
        </is>
      </c>
      <c r="C4" s="5" t="inlineStr">
        <is>
          <t>Tray</t>
        </is>
      </c>
      <c r="D4" s="5" t="inlineStr">
        <is>
          <t>Premium</t>
        </is>
      </c>
      <c r="E4" s="5" t="inlineStr">
        <is>
          <t>700 g</t>
        </is>
      </c>
      <c r="F4" s="5" t="inlineStr">
        <is>
          <t>Badam 350g, Kaju 350g, Silver crystal tray</t>
        </is>
      </c>
      <c r="G4" s="6" t="n">
        <v>1258</v>
      </c>
      <c r="H4" s="7">
        <f>I4-G4</f>
        <v/>
      </c>
      <c r="I4" s="8" t="n">
        <v>3299</v>
      </c>
      <c r="J4" s="7">
        <f>G4+H4</f>
        <v/>
      </c>
      <c r="K4" s="5" t="inlineStr">
        <is>
          <t>Wedding, Luxury, Festival</t>
        </is>
      </c>
      <c r="L4" s="5" t="inlineStr">
        <is>
          <t>350g Badam and 350g Kaju in a silver mirrored tray with crystal-knob boxes.</t>
        </is>
      </c>
      <c r="M4" s="5" t="inlineStr">
        <is>
          <t>Ready</t>
        </is>
      </c>
    </row>
    <row r="5" ht="48" customHeight="1">
      <c r="A5" s="9" t="n">
        <v>2</v>
      </c>
      <c r="B5" s="10" t="inlineStr">
        <is>
          <t>Pearl Namkeen Basket</t>
        </is>
      </c>
      <c r="C5" s="10" t="inlineStr">
        <is>
          <t>Basket</t>
        </is>
      </c>
      <c r="D5" s="10" t="inlineStr">
        <is>
          <t>Luxury</t>
        </is>
      </c>
      <c r="E5" s="10" t="inlineStr">
        <is>
          <t>2.2 kg</t>
        </is>
      </c>
      <c r="F5" s="10" t="inlineStr">
        <is>
          <t>Pista 500g, Kaju 500g, Badam 500g, Roasted Namkeen 3 boxes (700g), Tan rope basket</t>
        </is>
      </c>
      <c r="G5" s="11" t="n">
        <v>3915</v>
      </c>
      <c r="H5" s="12">
        <f>I5-G5</f>
        <v/>
      </c>
      <c r="I5" s="13" t="n">
        <v>4399</v>
      </c>
      <c r="J5" s="12">
        <f>G5+H5</f>
        <v/>
      </c>
      <c r="K5" s="10" t="inlineStr">
        <is>
          <t>Wedding, Festival, Luxury</t>
        </is>
      </c>
      <c r="L5" s="10" t="inlineStr">
        <is>
          <t>500g Pista, 500g Kaju, 500g Badam and 3 boxes of roasted namkeen in a tan rope basket.</t>
        </is>
      </c>
      <c r="M5" s="10" t="inlineStr">
        <is>
          <t>Ready</t>
        </is>
      </c>
    </row>
    <row r="6" ht="48" customHeight="1">
      <c r="A6" s="4" t="n">
        <v>3</v>
      </c>
      <c r="B6" s="5" t="inlineStr">
        <is>
          <t>Navy Peacock Box</t>
        </is>
      </c>
      <c r="C6" s="5" t="inlineStr">
        <is>
          <t>Box</t>
        </is>
      </c>
      <c r="D6" s="5" t="inlineStr">
        <is>
          <t>Premium</t>
        </is>
      </c>
      <c r="E6" s="5" t="inlineStr">
        <is>
          <t>1 kg</t>
        </is>
      </c>
      <c r="F6" s="5" t="inlineStr">
        <is>
          <t>Kaju 250g, Badam 250g, Pista 250g, Kishmish 250g, Navy peacock decorative box</t>
        </is>
      </c>
      <c r="G6" s="6" t="n">
        <v>1796</v>
      </c>
      <c r="H6" s="7">
        <f>I6-G6</f>
        <v/>
      </c>
      <c r="I6" s="8" t="n">
        <v>3399</v>
      </c>
      <c r="J6" s="7">
        <f>G6+H6</f>
        <v/>
      </c>
      <c r="K6" s="5" t="inlineStr">
        <is>
          <t>Wedding, Luxury, Corporate, Festival</t>
        </is>
      </c>
      <c r="L6" s="5" t="inlineStr">
        <is>
          <t>250g each of Kaju, Badam, Pista and Kishmish in a navy gift box with a peacock lid.</t>
        </is>
      </c>
      <c r="M6" s="5" t="inlineStr">
        <is>
          <t>Ready</t>
        </is>
      </c>
    </row>
    <row r="7" ht="48" customHeight="1">
      <c r="A7" s="9" t="n">
        <v>4</v>
      </c>
      <c r="B7" s="10" t="inlineStr">
        <is>
          <t>Ganesha Blessing Box</t>
        </is>
      </c>
      <c r="C7" s="10" t="inlineStr">
        <is>
          <t>Box</t>
        </is>
      </c>
      <c r="D7" s="10" t="inlineStr">
        <is>
          <t>Deluxe</t>
        </is>
      </c>
      <c r="E7" s="10" t="inlineStr">
        <is>
          <t>500 g</t>
        </is>
      </c>
      <c r="F7" s="10" t="inlineStr">
        <is>
          <t>Kaju 250g, Badam 250g, Ganesh ji, Diya, Sage-and-gold window box</t>
        </is>
      </c>
      <c r="G7" s="11" t="n">
        <v>898</v>
      </c>
      <c r="H7" s="12">
        <f>I7-G7</f>
        <v/>
      </c>
      <c r="I7" s="13" t="n">
        <v>1699</v>
      </c>
      <c r="J7" s="12">
        <f>G7+H7</f>
        <v/>
      </c>
      <c r="K7" s="10" t="inlineStr">
        <is>
          <t>Festival, Diwali, Rakhi, Wedding</t>
        </is>
      </c>
      <c r="L7" s="10" t="inlineStr">
        <is>
          <t>250g Kaju, 250g Badam, Ganesh ji and a diya in a sage-and-gold window box.</t>
        </is>
      </c>
      <c r="M7" s="10" t="inlineStr">
        <is>
          <t>Ready</t>
        </is>
      </c>
    </row>
    <row r="8" ht="48" customHeight="1">
      <c r="A8" s="4" t="n">
        <v>5</v>
      </c>
      <c r="B8" s="5" t="inlineStr">
        <is>
          <t>Classic Four Nut Basket</t>
        </is>
      </c>
      <c r="C8" s="5" t="inlineStr">
        <is>
          <t>Basket</t>
        </is>
      </c>
      <c r="D8" s="5" t="inlineStr">
        <is>
          <t>Premium</t>
        </is>
      </c>
      <c r="E8" s="5" t="inlineStr">
        <is>
          <t>1 kg</t>
        </is>
      </c>
      <c r="F8" s="5" t="inlineStr">
        <is>
          <t>Kaju 250g, Badam 250g, Pista 250g, Kishmish 250g, Round wicker basket</t>
        </is>
      </c>
      <c r="G8" s="6" t="n">
        <v>1796</v>
      </c>
      <c r="H8" s="7">
        <f>I8-G8</f>
        <v/>
      </c>
      <c r="I8" s="8" t="n">
        <v>3299</v>
      </c>
      <c r="J8" s="7">
        <f>G8+H8</f>
        <v/>
      </c>
      <c r="K8" s="5" t="inlineStr">
        <is>
          <t>Festival, Birthday, Wedding</t>
        </is>
      </c>
      <c r="L8" s="5" t="inlineStr">
        <is>
          <t>250g each of Kaju, Badam, Pista and Kishmish in a round wicker basket with pearls and flowers.</t>
        </is>
      </c>
      <c r="M8" s="5" t="inlineStr">
        <is>
          <t>Ready</t>
        </is>
      </c>
    </row>
    <row r="9" ht="48" customHeight="1">
      <c r="A9" s="9" t="n">
        <v>6</v>
      </c>
      <c r="B9" s="10" t="inlineStr">
        <is>
          <t>Orchard Mixed Basket</t>
        </is>
      </c>
      <c r="C9" s="10" t="inlineStr">
        <is>
          <t>Basket</t>
        </is>
      </c>
      <c r="D9" s="10" t="inlineStr">
        <is>
          <t>Premium</t>
        </is>
      </c>
      <c r="E9" s="10" t="inlineStr">
        <is>
          <t>1.5 kg</t>
        </is>
      </c>
      <c r="F9" s="10" t="inlineStr">
        <is>
          <t>Kaju 250g, Badam 250g, Pista 250g, Raisins 250g, Mix Seeds 250g, Apricot 250g, Festive woven basket</t>
        </is>
      </c>
      <c r="G9" s="11" t="n">
        <v>2694</v>
      </c>
      <c r="H9" s="12">
        <f>I9-G9</f>
        <v/>
      </c>
      <c r="I9" s="13" t="n">
        <v>3299</v>
      </c>
      <c r="J9" s="12">
        <f>G9+H9</f>
        <v/>
      </c>
      <c r="K9" s="10" t="inlineStr">
        <is>
          <t>Festival, Birthday, Wedding</t>
        </is>
      </c>
      <c r="L9" s="10" t="inlineStr">
        <is>
          <t>250g each of Kaju, Badam, Pista, Raisins, Mix Seeds and Apricot in a festive woven basket.</t>
        </is>
      </c>
      <c r="M9" s="10" t="inlineStr">
        <is>
          <t>Ready</t>
        </is>
      </c>
    </row>
    <row r="10" ht="48" customHeight="1">
      <c r="A10" s="4" t="n">
        <v>7</v>
      </c>
      <c r="B10" s="5" t="inlineStr">
        <is>
          <t>Grand Celebration Basket</t>
        </is>
      </c>
      <c r="C10" s="5" t="inlineStr">
        <is>
          <t>Basket</t>
        </is>
      </c>
      <c r="D10" s="5" t="inlineStr">
        <is>
          <t>Luxury</t>
        </is>
      </c>
      <c r="E10" s="5" t="inlineStr">
        <is>
          <t>3 kg</t>
        </is>
      </c>
      <c r="F10" s="5" t="inlineStr">
        <is>
          <t>Roasted Namkeen 750g, Kaju 500g, Badam 500g, Pista 500g, Kishmish 500g, Walnut 250g, Large round basket</t>
        </is>
      </c>
      <c r="G10" s="6" t="n">
        <v>5593</v>
      </c>
      <c r="H10" s="7">
        <f>I10-G10</f>
        <v/>
      </c>
      <c r="I10" s="8" t="n">
        <v>6399</v>
      </c>
      <c r="J10" s="7">
        <f>G10+H10</f>
        <v/>
      </c>
      <c r="K10" s="5" t="inlineStr">
        <is>
          <t>Wedding, Luxury, Festival, Corporate</t>
        </is>
      </c>
      <c r="L10" s="5" t="inlineStr">
        <is>
          <t>750g roasted namkeen, 500g each of Kaju, Badam, Pista and Kishmish, plus 250g Walnut in a large round basket.</t>
        </is>
      </c>
      <c r="M10" s="5" t="inlineStr">
        <is>
          <t>Ready</t>
        </is>
      </c>
    </row>
    <row r="11" ht="48" customHeight="1">
      <c r="A11" s="9" t="n">
        <v>8</v>
      </c>
      <c r="B11" s="10" t="inlineStr">
        <is>
          <t>Pink Tulle Basket</t>
        </is>
      </c>
      <c r="C11" s="10" t="inlineStr">
        <is>
          <t>Basket</t>
        </is>
      </c>
      <c r="D11" s="10" t="inlineStr">
        <is>
          <t>Premium</t>
        </is>
      </c>
      <c r="E11" s="10" t="inlineStr">
        <is>
          <t>1.5 kg</t>
        </is>
      </c>
      <c r="F11" s="10" t="inlineStr">
        <is>
          <t>Kaju 250g, Badam 250g, Pista 250g, Kishmish 250g, Akhrot 250g, Roasted Namkeen 250g, Rope basket with pink tulle</t>
        </is>
      </c>
      <c r="G11" s="11" t="n">
        <v>3194</v>
      </c>
      <c r="H11" s="12">
        <f>I11-G11</f>
        <v/>
      </c>
      <c r="I11" s="13" t="n">
        <v>3599</v>
      </c>
      <c r="J11" s="12">
        <f>G11+H11</f>
        <v/>
      </c>
      <c r="K11" s="10" t="inlineStr">
        <is>
          <t>Birthday, Festival, Wedding</t>
        </is>
      </c>
      <c r="L11" s="10" t="inlineStr">
        <is>
          <t>250g each of Kaju, Badam, Pista, Kishmish and Akhrot, plus roasted namkeen, in a rope basket with pink tulle.</t>
        </is>
      </c>
      <c r="M11" s="10" t="inlineStr">
        <is>
          <t>Ready</t>
        </is>
      </c>
    </row>
    <row r="12" ht="48" customHeight="1">
      <c r="A12" s="4" t="n">
        <v>9</v>
      </c>
      <c r="B12" s="5" t="inlineStr">
        <is>
          <t>Royal Copper Tray</t>
        </is>
      </c>
      <c r="C12" s="5" t="inlineStr">
        <is>
          <t>Tray</t>
        </is>
      </c>
      <c r="D12" s="5" t="inlineStr">
        <is>
          <t>Luxury</t>
        </is>
      </c>
      <c r="E12" s="5" t="inlineStr">
        <is>
          <t>2 kg</t>
        </is>
      </c>
      <c r="F12" s="5" t="inlineStr">
        <is>
          <t>Cashew 500g, Almond 500g, Raisins 500g, Pistachio 500g, Ornate round copper tray</t>
        </is>
      </c>
      <c r="G12" s="6" t="n">
        <v>3496</v>
      </c>
      <c r="H12" s="7">
        <f>I12-G12</f>
        <v/>
      </c>
      <c r="I12" s="8" t="n">
        <v>4299</v>
      </c>
      <c r="J12" s="7">
        <f>G12+H12</f>
        <v/>
      </c>
      <c r="K12" s="5" t="inlineStr">
        <is>
          <t>Wedding, Luxury, Festival, Diwali, Eid</t>
        </is>
      </c>
      <c r="L12" s="5" t="inlineStr">
        <is>
          <t>500g each of Cashew, Almond, Raisins and Pistachio arranged on an ornate round copper tray.</t>
        </is>
      </c>
      <c r="M12" s="5" t="inlineStr">
        <is>
          <t>Ready</t>
        </is>
      </c>
    </row>
    <row r="13" ht="48" customHeight="1">
      <c r="A13" s="9" t="n">
        <v>10</v>
      </c>
      <c r="B13" s="10" t="inlineStr">
        <is>
          <t>Gold Elephant Stand</t>
        </is>
      </c>
      <c r="C13" s="10" t="inlineStr">
        <is>
          <t>Stand</t>
        </is>
      </c>
      <c r="D13" s="10" t="inlineStr">
        <is>
          <t>Luxury</t>
        </is>
      </c>
      <c r="E13" s="10" t="inlineStr">
        <is>
          <t>1 kg</t>
        </is>
      </c>
      <c r="F13" s="10" t="inlineStr">
        <is>
          <t>Kaju 250g, Badam 250g, Pista 250g, Kishmish 250g, Gold elephant stand</t>
        </is>
      </c>
      <c r="G13" s="11" t="n">
        <v>1796</v>
      </c>
      <c r="H13" s="12">
        <f>I13-G13</f>
        <v/>
      </c>
      <c r="I13" s="13" t="n">
        <v>3999</v>
      </c>
      <c r="J13" s="12">
        <f>G13+H13</f>
        <v/>
      </c>
      <c r="K13" s="10" t="inlineStr">
        <is>
          <t>Wedding, Luxury, Festival, Diwali</t>
        </is>
      </c>
      <c r="L13" s="10" t="inlineStr">
        <is>
          <t>250g each of Kaju, Badam, Pista and Kishmish presented on an ornate gold elephant stand.</t>
        </is>
      </c>
      <c r="M13" s="10" t="inlineStr">
        <is>
          <t>Ready</t>
        </is>
      </c>
    </row>
    <row r="14" ht="24" customHeight="1">
      <c r="A14" s="14" t="inlineStr">
        <is>
          <t>TOTALS</t>
        </is>
      </c>
      <c r="B14" s="14" t="n"/>
      <c r="C14" s="14" t="n"/>
      <c r="D14" s="14" t="n"/>
      <c r="E14" s="14" t="n"/>
      <c r="F14" s="14" t="n"/>
      <c r="G14" s="15">
        <f>SUM(G4:G13)</f>
        <v/>
      </c>
      <c r="H14" s="15">
        <f>SUM(H4:H13)</f>
        <v/>
      </c>
      <c r="I14" s="15">
        <f>SUM(I4:I13)</f>
        <v/>
      </c>
      <c r="J14" s="15">
        <f>SUM(J4:J13)</f>
        <v/>
      </c>
      <c r="K14" s="14" t="n"/>
      <c r="L14" s="14" t="n"/>
      <c r="M14" s="14" t="n"/>
    </row>
  </sheetData>
  <autoFilter ref="A3:M13"/>
  <mergeCells count="3">
    <mergeCell ref="A14:F14"/>
    <mergeCell ref="A2:M2"/>
    <mergeCell ref="A1:M1"/>
  </mergeCells>
  <pageMargins left="0.75" right="0.75" top="1" bottom="1" header="0.5" footer="0.5"/>
  <pageSetup orientation="landscape" paperSize="9" fitToHeight="0" fitToWidth="1"/>
  <headerFooter>
    <oddHeader/>
    <oddFooter>&amp;LSukhmal Dry Fruits Korner&amp;RGift Hampers Master  |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36" customWidth="1" min="4" max="4"/>
    <col width="22" customWidth="1" min="5" max="5"/>
    <col width="22" customWidth="1" min="6" max="6"/>
    <col width="12" customWidth="1" min="7" max="7"/>
    <col width="12" customWidth="1" min="8" max="8"/>
    <col width="16" customWidth="1" min="9" max="9"/>
    <col width="20" customWidth="1" min="10" max="10"/>
    <col width="22" customWidth="1" min="11" max="11"/>
    <col width="72" customWidth="1" min="12" max="12"/>
    <col width="12" customWidth="1" min="13" max="13"/>
  </cols>
  <sheetData>
    <row r="1" ht="30" customHeight="1">
      <c r="A1" s="1" t="inlineStr">
        <is>
          <t>GIFT HAMPERS  —  LINE ITEMS   |   One row per item inside each hamper</t>
        </is>
      </c>
    </row>
    <row r="2" ht="48" customHeight="1">
      <c r="A2" s="2" t="inlineStr">
        <is>
          <t>HOW TO USE:   Product rows carry the catalog selling price for that weight.    Packaging / decorative rows are ₹0 here because their cost is the tray column:    Tray = Hamper Selling Price − Products Total.    Filter by Hamper Name to see one hamper’s full bill.</t>
        </is>
      </c>
    </row>
    <row r="3" ht="34" customHeight="1">
      <c r="A3" s="3" t="inlineStr">
        <is>
          <t>S. No.</t>
        </is>
      </c>
      <c r="B3" s="3" t="inlineStr">
        <is>
          <t>Hamper Name</t>
        </is>
      </c>
      <c r="C3" s="3" t="inlineStr">
        <is>
          <t>Hamper Selling Price (Rs.)</t>
        </is>
      </c>
      <c r="D3" s="3" t="inlineStr">
        <is>
          <t>Item</t>
        </is>
      </c>
      <c r="E3" s="3" t="inlineStr">
        <is>
          <t>Item Type</t>
        </is>
      </c>
      <c r="F3" s="3" t="inlineStr">
        <is>
          <t>Catalog Product</t>
        </is>
      </c>
      <c r="G3" s="3" t="inlineStr">
        <is>
          <t>SKU</t>
        </is>
      </c>
      <c r="H3" s="3" t="inlineStr">
        <is>
          <t>Weight</t>
        </is>
      </c>
      <c r="I3" s="3" t="inlineStr">
        <is>
          <t>Item Price (Rs.)</t>
        </is>
      </c>
      <c r="J3" s="3" t="inlineStr">
        <is>
          <t>Products Total (Rs.)</t>
        </is>
      </c>
      <c r="K3" s="3" t="inlineStr">
        <is>
          <t>Tray / Basket / Box (Rs.)</t>
        </is>
      </c>
      <c r="L3" s="3" t="inlineStr">
        <is>
          <t>Pricing Basis</t>
        </is>
      </c>
      <c r="M3" s="3" t="inlineStr">
        <is>
          <t>Status</t>
        </is>
      </c>
    </row>
    <row r="4" ht="36" customHeight="1">
      <c r="A4" s="4" t="n">
        <v>1</v>
      </c>
      <c r="B4" s="5" t="inlineStr">
        <is>
          <t>Silver Crystal Tray</t>
        </is>
      </c>
      <c r="C4" s="6" t="n">
        <v>3299</v>
      </c>
      <c r="D4" s="5" t="inlineStr">
        <is>
          <t>Badam 350g</t>
        </is>
      </c>
      <c r="E4" s="16" t="inlineStr">
        <is>
          <t>Product</t>
        </is>
      </c>
      <c r="F4" s="5" t="inlineStr">
        <is>
          <t>Badam CF</t>
        </is>
      </c>
      <c r="G4" s="5" t="inlineStr">
        <is>
          <t>SK-008</t>
        </is>
      </c>
      <c r="H4" s="5" t="inlineStr">
        <is>
          <t>350g</t>
        </is>
      </c>
      <c r="I4" s="6" t="n">
        <v>559</v>
      </c>
      <c r="J4" s="6" t="n">
        <v>1258</v>
      </c>
      <c r="K4" s="7" t="n">
        <v>2041</v>
      </c>
      <c r="L4" s="5" t="inlineStr">
        <is>
          <t>1 × 250g @ ₹399; 100g pro-rated from 250g @ ₹399 = ₹160</t>
        </is>
      </c>
      <c r="M4" s="5" t="inlineStr">
        <is>
          <t>Ready</t>
        </is>
      </c>
    </row>
    <row r="5" ht="36" customHeight="1">
      <c r="A5" s="4" t="n">
        <v>2</v>
      </c>
      <c r="B5" s="5" t="inlineStr">
        <is>
          <t>Silver Crystal Tray</t>
        </is>
      </c>
      <c r="C5" s="6" t="n">
        <v>3299</v>
      </c>
      <c r="D5" s="5" t="inlineStr">
        <is>
          <t>Kaju 350g</t>
        </is>
      </c>
      <c r="E5" s="16" t="inlineStr">
        <is>
          <t>Product</t>
        </is>
      </c>
      <c r="F5" s="5" t="inlineStr">
        <is>
          <t>Kaju 320 N</t>
        </is>
      </c>
      <c r="G5" s="5" t="inlineStr">
        <is>
          <t>SK-001</t>
        </is>
      </c>
      <c r="H5" s="5" t="inlineStr">
        <is>
          <t>350g</t>
        </is>
      </c>
      <c r="I5" s="6" t="n">
        <v>699</v>
      </c>
      <c r="J5" s="6" t="n">
        <v>1258</v>
      </c>
      <c r="K5" s="6" t="n">
        <v>2041</v>
      </c>
      <c r="L5" s="5" t="inlineStr">
        <is>
          <t>1 × 250g @ ₹499; 100g pro-rated from 250g @ ₹499 = ₹200</t>
        </is>
      </c>
      <c r="M5" s="5" t="inlineStr">
        <is>
          <t>Ready</t>
        </is>
      </c>
    </row>
    <row r="6" ht="36" customHeight="1">
      <c r="A6" s="4" t="n">
        <v>3</v>
      </c>
      <c r="B6" s="5" t="inlineStr">
        <is>
          <t>Silver Crystal Tray</t>
        </is>
      </c>
      <c r="C6" s="6" t="n">
        <v>3299</v>
      </c>
      <c r="D6" s="5" t="inlineStr">
        <is>
          <t>Silver crystal tray</t>
        </is>
      </c>
      <c r="E6" s="17" t="inlineStr">
        <is>
          <t>Packaging / Decorative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—</t>
        </is>
      </c>
      <c r="I6" s="18" t="n">
        <v>0</v>
      </c>
      <c r="J6" s="6" t="n">
        <v>1258</v>
      </c>
      <c r="K6" s="6" t="n">
        <v>2041</v>
      </c>
      <c r="L6" s="5" t="inlineStr">
        <is>
          <t>Packaging — tray cost is hamper price minus product cost</t>
        </is>
      </c>
      <c r="M6" s="5" t="inlineStr">
        <is>
          <t>Ready</t>
        </is>
      </c>
    </row>
    <row r="7" ht="36" customHeight="1">
      <c r="A7" s="9" t="n">
        <v>4</v>
      </c>
      <c r="B7" s="10" t="inlineStr">
        <is>
          <t>Pearl Namkeen Basket</t>
        </is>
      </c>
      <c r="C7" s="11" t="n">
        <v>4399</v>
      </c>
      <c r="D7" s="10" t="inlineStr">
        <is>
          <t>Pista 500g</t>
        </is>
      </c>
      <c r="E7" s="16" t="inlineStr">
        <is>
          <t>Product</t>
        </is>
      </c>
      <c r="F7" s="10" t="inlineStr">
        <is>
          <t>Pista</t>
        </is>
      </c>
      <c r="G7" s="10" t="inlineStr">
        <is>
          <t>SK-014</t>
        </is>
      </c>
      <c r="H7" s="10" t="inlineStr">
        <is>
          <t>500g</t>
        </is>
      </c>
      <c r="I7" s="11" t="n">
        <v>1099</v>
      </c>
      <c r="J7" s="11" t="n">
        <v>3915</v>
      </c>
      <c r="K7" s="12" t="n">
        <v>484</v>
      </c>
      <c r="L7" s="10" t="inlineStr">
        <is>
          <t>1 × 500g @ ₹1099</t>
        </is>
      </c>
      <c r="M7" s="10" t="inlineStr">
        <is>
          <t>Ready</t>
        </is>
      </c>
    </row>
    <row r="8" ht="36" customHeight="1">
      <c r="A8" s="9" t="n">
        <v>5</v>
      </c>
      <c r="B8" s="10" t="inlineStr">
        <is>
          <t>Pearl Namkeen Basket</t>
        </is>
      </c>
      <c r="C8" s="11" t="n">
        <v>4399</v>
      </c>
      <c r="D8" s="10" t="inlineStr">
        <is>
          <t>Kaju 500g</t>
        </is>
      </c>
      <c r="E8" s="16" t="inlineStr">
        <is>
          <t>Product</t>
        </is>
      </c>
      <c r="F8" s="10" t="inlineStr">
        <is>
          <t>Kaju 320 N</t>
        </is>
      </c>
      <c r="G8" s="10" t="inlineStr">
        <is>
          <t>SK-001</t>
        </is>
      </c>
      <c r="H8" s="10" t="inlineStr">
        <is>
          <t>500g</t>
        </is>
      </c>
      <c r="I8" s="11" t="n">
        <v>999</v>
      </c>
      <c r="J8" s="11" t="n">
        <v>3915</v>
      </c>
      <c r="K8" s="11" t="n">
        <v>484</v>
      </c>
      <c r="L8" s="10" t="inlineStr">
        <is>
          <t>1 × 500g @ ₹999</t>
        </is>
      </c>
      <c r="M8" s="10" t="inlineStr">
        <is>
          <t>Ready</t>
        </is>
      </c>
    </row>
    <row r="9" ht="36" customHeight="1">
      <c r="A9" s="9" t="n">
        <v>6</v>
      </c>
      <c r="B9" s="10" t="inlineStr">
        <is>
          <t>Pearl Namkeen Basket</t>
        </is>
      </c>
      <c r="C9" s="11" t="n">
        <v>4399</v>
      </c>
      <c r="D9" s="10" t="inlineStr">
        <is>
          <t>Badam 500g</t>
        </is>
      </c>
      <c r="E9" s="16" t="inlineStr">
        <is>
          <t>Product</t>
        </is>
      </c>
      <c r="F9" s="10" t="inlineStr">
        <is>
          <t>Badam CF</t>
        </is>
      </c>
      <c r="G9" s="10" t="inlineStr">
        <is>
          <t>SK-008</t>
        </is>
      </c>
      <c r="H9" s="10" t="inlineStr">
        <is>
          <t>500g</t>
        </is>
      </c>
      <c r="I9" s="11" t="n">
        <v>799</v>
      </c>
      <c r="J9" s="11" t="n">
        <v>3915</v>
      </c>
      <c r="K9" s="11" t="n">
        <v>484</v>
      </c>
      <c r="L9" s="10" t="inlineStr">
        <is>
          <t>1 × 500g @ ₹799</t>
        </is>
      </c>
      <c r="M9" s="10" t="inlineStr">
        <is>
          <t>Ready</t>
        </is>
      </c>
    </row>
    <row r="10" ht="36" customHeight="1">
      <c r="A10" s="9" t="n">
        <v>7</v>
      </c>
      <c r="B10" s="10" t="inlineStr">
        <is>
          <t>Pearl Namkeen Basket</t>
        </is>
      </c>
      <c r="C10" s="11" t="n">
        <v>4399</v>
      </c>
      <c r="D10" s="10" t="inlineStr">
        <is>
          <t>Roasted Namkeen 3 boxes (700g)</t>
        </is>
      </c>
      <c r="E10" s="16" t="inlineStr">
        <is>
          <t>Product</t>
        </is>
      </c>
      <c r="F10" s="10" t="inlineStr">
        <is>
          <t>Roasted Namkeen</t>
        </is>
      </c>
      <c r="G10" s="10" t="inlineStr">
        <is>
          <t>SK-071</t>
        </is>
      </c>
      <c r="H10" s="10" t="inlineStr">
        <is>
          <t>700g</t>
        </is>
      </c>
      <c r="I10" s="11" t="n">
        <v>1018</v>
      </c>
      <c r="J10" s="11" t="n">
        <v>3915</v>
      </c>
      <c r="K10" s="11" t="n">
        <v>484</v>
      </c>
      <c r="L10" s="10" t="inlineStr">
        <is>
          <t>Hamper net 2.2 kg − 1.5 kg nuts = 700g namkeen across 3 boxes</t>
        </is>
      </c>
      <c r="M10" s="10" t="inlineStr">
        <is>
          <t>Ready</t>
        </is>
      </c>
    </row>
    <row r="11" ht="36" customHeight="1">
      <c r="A11" s="9" t="n">
        <v>8</v>
      </c>
      <c r="B11" s="10" t="inlineStr">
        <is>
          <t>Pearl Namkeen Basket</t>
        </is>
      </c>
      <c r="C11" s="11" t="n">
        <v>4399</v>
      </c>
      <c r="D11" s="10" t="inlineStr">
        <is>
          <t>Tan rope basket</t>
        </is>
      </c>
      <c r="E11" s="17" t="inlineStr">
        <is>
          <t>Packaging / Decorative</t>
        </is>
      </c>
      <c r="F11" s="10" t="inlineStr">
        <is>
          <t>—</t>
        </is>
      </c>
      <c r="G11" s="10" t="inlineStr">
        <is>
          <t>—</t>
        </is>
      </c>
      <c r="H11" s="10" t="inlineStr">
        <is>
          <t>—</t>
        </is>
      </c>
      <c r="I11" s="18" t="n">
        <v>0</v>
      </c>
      <c r="J11" s="11" t="n">
        <v>3915</v>
      </c>
      <c r="K11" s="11" t="n">
        <v>484</v>
      </c>
      <c r="L11" s="10" t="inlineStr">
        <is>
          <t>Packaging — basket cost is hamper price minus product cost</t>
        </is>
      </c>
      <c r="M11" s="10" t="inlineStr">
        <is>
          <t>Ready</t>
        </is>
      </c>
    </row>
    <row r="12" ht="36" customHeight="1">
      <c r="A12" s="4" t="n">
        <v>9</v>
      </c>
      <c r="B12" s="5" t="inlineStr">
        <is>
          <t>Navy Peacock Box</t>
        </is>
      </c>
      <c r="C12" s="6" t="n">
        <v>3399</v>
      </c>
      <c r="D12" s="5" t="inlineStr">
        <is>
          <t>Kaju 250g</t>
        </is>
      </c>
      <c r="E12" s="16" t="inlineStr">
        <is>
          <t>Product</t>
        </is>
      </c>
      <c r="F12" s="5" t="inlineStr">
        <is>
          <t>Kaju 320 N</t>
        </is>
      </c>
      <c r="G12" s="5" t="inlineStr">
        <is>
          <t>SK-001</t>
        </is>
      </c>
      <c r="H12" s="5" t="inlineStr">
        <is>
          <t>250g</t>
        </is>
      </c>
      <c r="I12" s="6" t="n">
        <v>499</v>
      </c>
      <c r="J12" s="6" t="n">
        <v>1796</v>
      </c>
      <c r="K12" s="7" t="n">
        <v>1603</v>
      </c>
      <c r="L12" s="5" t="inlineStr">
        <is>
          <t>1 × 250g @ ₹499</t>
        </is>
      </c>
      <c r="M12" s="5" t="inlineStr">
        <is>
          <t>Ready</t>
        </is>
      </c>
    </row>
    <row r="13" ht="36" customHeight="1">
      <c r="A13" s="4" t="n">
        <v>10</v>
      </c>
      <c r="B13" s="5" t="inlineStr">
        <is>
          <t>Navy Peacock Box</t>
        </is>
      </c>
      <c r="C13" s="6" t="n">
        <v>3399</v>
      </c>
      <c r="D13" s="5" t="inlineStr">
        <is>
          <t>Badam 250g</t>
        </is>
      </c>
      <c r="E13" s="16" t="inlineStr">
        <is>
          <t>Product</t>
        </is>
      </c>
      <c r="F13" s="5" t="inlineStr">
        <is>
          <t>Badam CF</t>
        </is>
      </c>
      <c r="G13" s="5" t="inlineStr">
        <is>
          <t>SK-008</t>
        </is>
      </c>
      <c r="H13" s="5" t="inlineStr">
        <is>
          <t>250g</t>
        </is>
      </c>
      <c r="I13" s="6" t="n">
        <v>399</v>
      </c>
      <c r="J13" s="6" t="n">
        <v>1796</v>
      </c>
      <c r="K13" s="6" t="n">
        <v>1603</v>
      </c>
      <c r="L13" s="5" t="inlineStr">
        <is>
          <t>1 × 250g @ ₹399</t>
        </is>
      </c>
      <c r="M13" s="5" t="inlineStr">
        <is>
          <t>Ready</t>
        </is>
      </c>
    </row>
    <row r="14" ht="36" customHeight="1">
      <c r="A14" s="4" t="n">
        <v>11</v>
      </c>
      <c r="B14" s="5" t="inlineStr">
        <is>
          <t>Navy Peacock Box</t>
        </is>
      </c>
      <c r="C14" s="6" t="n">
        <v>3399</v>
      </c>
      <c r="D14" s="5" t="inlineStr">
        <is>
          <t>Pista 250g</t>
        </is>
      </c>
      <c r="E14" s="16" t="inlineStr">
        <is>
          <t>Product</t>
        </is>
      </c>
      <c r="F14" s="5" t="inlineStr">
        <is>
          <t>Pista</t>
        </is>
      </c>
      <c r="G14" s="5" t="inlineStr">
        <is>
          <t>SK-014</t>
        </is>
      </c>
      <c r="H14" s="5" t="inlineStr">
        <is>
          <t>250g</t>
        </is>
      </c>
      <c r="I14" s="6" t="n">
        <v>599</v>
      </c>
      <c r="J14" s="6" t="n">
        <v>1796</v>
      </c>
      <c r="K14" s="6" t="n">
        <v>1603</v>
      </c>
      <c r="L14" s="5" t="inlineStr">
        <is>
          <t>1 × 250g @ ₹599</t>
        </is>
      </c>
      <c r="M14" s="5" t="inlineStr">
        <is>
          <t>Ready</t>
        </is>
      </c>
    </row>
    <row r="15" ht="36" customHeight="1">
      <c r="A15" s="4" t="n">
        <v>12</v>
      </c>
      <c r="B15" s="5" t="inlineStr">
        <is>
          <t>Navy Peacock Box</t>
        </is>
      </c>
      <c r="C15" s="6" t="n">
        <v>3399</v>
      </c>
      <c r="D15" s="5" t="inlineStr">
        <is>
          <t>Kishmish 250g</t>
        </is>
      </c>
      <c r="E15" s="16" t="inlineStr">
        <is>
          <t>Product</t>
        </is>
      </c>
      <c r="F15" s="5" t="inlineStr">
        <is>
          <t>Kishmish Indian</t>
        </is>
      </c>
      <c r="G15" s="5" t="inlineStr">
        <is>
          <t>SK-018</t>
        </is>
      </c>
      <c r="H15" s="5" t="inlineStr">
        <is>
          <t>250g</t>
        </is>
      </c>
      <c r="I15" s="6" t="n">
        <v>299</v>
      </c>
      <c r="J15" s="6" t="n">
        <v>1796</v>
      </c>
      <c r="K15" s="6" t="n">
        <v>1603</v>
      </c>
      <c r="L15" s="5" t="inlineStr">
        <is>
          <t>1 × 250g @ ₹299</t>
        </is>
      </c>
      <c r="M15" s="5" t="inlineStr">
        <is>
          <t>Ready</t>
        </is>
      </c>
    </row>
    <row r="16" ht="36" customHeight="1">
      <c r="A16" s="4" t="n">
        <v>13</v>
      </c>
      <c r="B16" s="5" t="inlineStr">
        <is>
          <t>Navy Peacock Box</t>
        </is>
      </c>
      <c r="C16" s="6" t="n">
        <v>3399</v>
      </c>
      <c r="D16" s="5" t="inlineStr">
        <is>
          <t>Navy peacock decorative box</t>
        </is>
      </c>
      <c r="E16" s="17" t="inlineStr">
        <is>
          <t>Packaging / Decorative</t>
        </is>
      </c>
      <c r="F16" s="5" t="inlineStr">
        <is>
          <t>—</t>
        </is>
      </c>
      <c r="G16" s="5" t="inlineStr">
        <is>
          <t>—</t>
        </is>
      </c>
      <c r="H16" s="5" t="inlineStr">
        <is>
          <t>—</t>
        </is>
      </c>
      <c r="I16" s="18" t="n">
        <v>0</v>
      </c>
      <c r="J16" s="6" t="n">
        <v>1796</v>
      </c>
      <c r="K16" s="6" t="n">
        <v>1603</v>
      </c>
      <c r="L16" s="5" t="inlineStr">
        <is>
          <t>Packaging — box cost is hamper price minus product cost</t>
        </is>
      </c>
      <c r="M16" s="5" t="inlineStr">
        <is>
          <t>Ready</t>
        </is>
      </c>
    </row>
    <row r="17" ht="36" customHeight="1">
      <c r="A17" s="9" t="n">
        <v>14</v>
      </c>
      <c r="B17" s="10" t="inlineStr">
        <is>
          <t>Ganesha Blessing Box</t>
        </is>
      </c>
      <c r="C17" s="11" t="n">
        <v>1699</v>
      </c>
      <c r="D17" s="10" t="inlineStr">
        <is>
          <t>Kaju 250g</t>
        </is>
      </c>
      <c r="E17" s="16" t="inlineStr">
        <is>
          <t>Product</t>
        </is>
      </c>
      <c r="F17" s="10" t="inlineStr">
        <is>
          <t>Kaju 320 N</t>
        </is>
      </c>
      <c r="G17" s="10" t="inlineStr">
        <is>
          <t>SK-001</t>
        </is>
      </c>
      <c r="H17" s="10" t="inlineStr">
        <is>
          <t>250g</t>
        </is>
      </c>
      <c r="I17" s="11" t="n">
        <v>499</v>
      </c>
      <c r="J17" s="11" t="n">
        <v>898</v>
      </c>
      <c r="K17" s="12" t="n">
        <v>801</v>
      </c>
      <c r="L17" s="10" t="inlineStr">
        <is>
          <t>1 × 250g @ ₹499</t>
        </is>
      </c>
      <c r="M17" s="10" t="inlineStr">
        <is>
          <t>Ready</t>
        </is>
      </c>
    </row>
    <row r="18" ht="36" customHeight="1">
      <c r="A18" s="9" t="n">
        <v>15</v>
      </c>
      <c r="B18" s="10" t="inlineStr">
        <is>
          <t>Ganesha Blessing Box</t>
        </is>
      </c>
      <c r="C18" s="11" t="n">
        <v>1699</v>
      </c>
      <c r="D18" s="10" t="inlineStr">
        <is>
          <t>Badam 250g</t>
        </is>
      </c>
      <c r="E18" s="16" t="inlineStr">
        <is>
          <t>Product</t>
        </is>
      </c>
      <c r="F18" s="10" t="inlineStr">
        <is>
          <t>Badam CF</t>
        </is>
      </c>
      <c r="G18" s="10" t="inlineStr">
        <is>
          <t>SK-008</t>
        </is>
      </c>
      <c r="H18" s="10" t="inlineStr">
        <is>
          <t>250g</t>
        </is>
      </c>
      <c r="I18" s="11" t="n">
        <v>399</v>
      </c>
      <c r="J18" s="11" t="n">
        <v>898</v>
      </c>
      <c r="K18" s="11" t="n">
        <v>801</v>
      </c>
      <c r="L18" s="10" t="inlineStr">
        <is>
          <t>1 × 250g @ ₹399</t>
        </is>
      </c>
      <c r="M18" s="10" t="inlineStr">
        <is>
          <t>Ready</t>
        </is>
      </c>
    </row>
    <row r="19" ht="36" customHeight="1">
      <c r="A19" s="9" t="n">
        <v>16</v>
      </c>
      <c r="B19" s="10" t="inlineStr">
        <is>
          <t>Ganesha Blessing Box</t>
        </is>
      </c>
      <c r="C19" s="11" t="n">
        <v>1699</v>
      </c>
      <c r="D19" s="10" t="inlineStr">
        <is>
          <t>Ganesh ji</t>
        </is>
      </c>
      <c r="E19" s="17" t="inlineStr">
        <is>
          <t>Packaging / Decorative</t>
        </is>
      </c>
      <c r="F19" s="10" t="inlineStr">
        <is>
          <t>—</t>
        </is>
      </c>
      <c r="G19" s="10" t="inlineStr">
        <is>
          <t>—</t>
        </is>
      </c>
      <c r="H19" s="10" t="inlineStr">
        <is>
          <t>—</t>
        </is>
      </c>
      <c r="I19" s="18" t="n">
        <v>0</v>
      </c>
      <c r="J19" s="11" t="n">
        <v>898</v>
      </c>
      <c r="K19" s="11" t="n">
        <v>801</v>
      </c>
      <c r="L19" s="10" t="inlineStr">
        <is>
          <t>Decorative — included in box cost (not a catalog SKU)</t>
        </is>
      </c>
      <c r="M19" s="10" t="inlineStr">
        <is>
          <t>Ready</t>
        </is>
      </c>
    </row>
    <row r="20" ht="36" customHeight="1">
      <c r="A20" s="9" t="n">
        <v>17</v>
      </c>
      <c r="B20" s="10" t="inlineStr">
        <is>
          <t>Ganesha Blessing Box</t>
        </is>
      </c>
      <c r="C20" s="11" t="n">
        <v>1699</v>
      </c>
      <c r="D20" s="10" t="inlineStr">
        <is>
          <t>Diya</t>
        </is>
      </c>
      <c r="E20" s="17" t="inlineStr">
        <is>
          <t>Packaging / Decorative</t>
        </is>
      </c>
      <c r="F20" s="10" t="inlineStr">
        <is>
          <t>—</t>
        </is>
      </c>
      <c r="G20" s="10" t="inlineStr">
        <is>
          <t>—</t>
        </is>
      </c>
      <c r="H20" s="10" t="inlineStr">
        <is>
          <t>—</t>
        </is>
      </c>
      <c r="I20" s="18" t="n">
        <v>0</v>
      </c>
      <c r="J20" s="11" t="n">
        <v>898</v>
      </c>
      <c r="K20" s="11" t="n">
        <v>801</v>
      </c>
      <c r="L20" s="10" t="inlineStr">
        <is>
          <t>Decorative — included in box cost (not a catalog SKU)</t>
        </is>
      </c>
      <c r="M20" s="10" t="inlineStr">
        <is>
          <t>Ready</t>
        </is>
      </c>
    </row>
    <row r="21" ht="36" customHeight="1">
      <c r="A21" s="9" t="n">
        <v>18</v>
      </c>
      <c r="B21" s="10" t="inlineStr">
        <is>
          <t>Ganesha Blessing Box</t>
        </is>
      </c>
      <c r="C21" s="11" t="n">
        <v>1699</v>
      </c>
      <c r="D21" s="10" t="inlineStr">
        <is>
          <t>Sage-and-gold window box</t>
        </is>
      </c>
      <c r="E21" s="17" t="inlineStr">
        <is>
          <t>Packaging / Decorative</t>
        </is>
      </c>
      <c r="F21" s="10" t="inlineStr">
        <is>
          <t>—</t>
        </is>
      </c>
      <c r="G21" s="10" t="inlineStr">
        <is>
          <t>—</t>
        </is>
      </c>
      <c r="H21" s="10" t="inlineStr">
        <is>
          <t>—</t>
        </is>
      </c>
      <c r="I21" s="18" t="n">
        <v>0</v>
      </c>
      <c r="J21" s="11" t="n">
        <v>898</v>
      </c>
      <c r="K21" s="11" t="n">
        <v>801</v>
      </c>
      <c r="L21" s="10" t="inlineStr">
        <is>
          <t>Packaging — box cost is hamper price minus product cost</t>
        </is>
      </c>
      <c r="M21" s="10" t="inlineStr">
        <is>
          <t>Ready</t>
        </is>
      </c>
    </row>
    <row r="22" ht="36" customHeight="1">
      <c r="A22" s="4" t="n">
        <v>19</v>
      </c>
      <c r="B22" s="5" t="inlineStr">
        <is>
          <t>Classic Four Nut Basket</t>
        </is>
      </c>
      <c r="C22" s="6" t="n">
        <v>3299</v>
      </c>
      <c r="D22" s="5" t="inlineStr">
        <is>
          <t>Kaju 250g</t>
        </is>
      </c>
      <c r="E22" s="16" t="inlineStr">
        <is>
          <t>Product</t>
        </is>
      </c>
      <c r="F22" s="5" t="inlineStr">
        <is>
          <t>Kaju 320 N</t>
        </is>
      </c>
      <c r="G22" s="5" t="inlineStr">
        <is>
          <t>SK-001</t>
        </is>
      </c>
      <c r="H22" s="5" t="inlineStr">
        <is>
          <t>250g</t>
        </is>
      </c>
      <c r="I22" s="6" t="n">
        <v>499</v>
      </c>
      <c r="J22" s="6" t="n">
        <v>1796</v>
      </c>
      <c r="K22" s="7" t="n">
        <v>1503</v>
      </c>
      <c r="L22" s="5" t="inlineStr">
        <is>
          <t>1 × 250g @ ₹499</t>
        </is>
      </c>
      <c r="M22" s="5" t="inlineStr">
        <is>
          <t>Ready</t>
        </is>
      </c>
    </row>
    <row r="23" ht="36" customHeight="1">
      <c r="A23" s="4" t="n">
        <v>20</v>
      </c>
      <c r="B23" s="5" t="inlineStr">
        <is>
          <t>Classic Four Nut Basket</t>
        </is>
      </c>
      <c r="C23" s="6" t="n">
        <v>3299</v>
      </c>
      <c r="D23" s="5" t="inlineStr">
        <is>
          <t>Badam 250g</t>
        </is>
      </c>
      <c r="E23" s="16" t="inlineStr">
        <is>
          <t>Product</t>
        </is>
      </c>
      <c r="F23" s="5" t="inlineStr">
        <is>
          <t>Badam CF</t>
        </is>
      </c>
      <c r="G23" s="5" t="inlineStr">
        <is>
          <t>SK-008</t>
        </is>
      </c>
      <c r="H23" s="5" t="inlineStr">
        <is>
          <t>250g</t>
        </is>
      </c>
      <c r="I23" s="6" t="n">
        <v>399</v>
      </c>
      <c r="J23" s="6" t="n">
        <v>1796</v>
      </c>
      <c r="K23" s="6" t="n">
        <v>1503</v>
      </c>
      <c r="L23" s="5" t="inlineStr">
        <is>
          <t>1 × 250g @ ₹399</t>
        </is>
      </c>
      <c r="M23" s="5" t="inlineStr">
        <is>
          <t>Ready</t>
        </is>
      </c>
    </row>
    <row r="24" ht="36" customHeight="1">
      <c r="A24" s="4" t="n">
        <v>21</v>
      </c>
      <c r="B24" s="5" t="inlineStr">
        <is>
          <t>Classic Four Nut Basket</t>
        </is>
      </c>
      <c r="C24" s="6" t="n">
        <v>3299</v>
      </c>
      <c r="D24" s="5" t="inlineStr">
        <is>
          <t>Pista 250g</t>
        </is>
      </c>
      <c r="E24" s="16" t="inlineStr">
        <is>
          <t>Product</t>
        </is>
      </c>
      <c r="F24" s="5" t="inlineStr">
        <is>
          <t>Pista</t>
        </is>
      </c>
      <c r="G24" s="5" t="inlineStr">
        <is>
          <t>SK-014</t>
        </is>
      </c>
      <c r="H24" s="5" t="inlineStr">
        <is>
          <t>250g</t>
        </is>
      </c>
      <c r="I24" s="6" t="n">
        <v>599</v>
      </c>
      <c r="J24" s="6" t="n">
        <v>1796</v>
      </c>
      <c r="K24" s="6" t="n">
        <v>1503</v>
      </c>
      <c r="L24" s="5" t="inlineStr">
        <is>
          <t>1 × 250g @ ₹599</t>
        </is>
      </c>
      <c r="M24" s="5" t="inlineStr">
        <is>
          <t>Ready</t>
        </is>
      </c>
    </row>
    <row r="25" ht="36" customHeight="1">
      <c r="A25" s="4" t="n">
        <v>22</v>
      </c>
      <c r="B25" s="5" t="inlineStr">
        <is>
          <t>Classic Four Nut Basket</t>
        </is>
      </c>
      <c r="C25" s="6" t="n">
        <v>3299</v>
      </c>
      <c r="D25" s="5" t="inlineStr">
        <is>
          <t>Kishmish 250g</t>
        </is>
      </c>
      <c r="E25" s="16" t="inlineStr">
        <is>
          <t>Product</t>
        </is>
      </c>
      <c r="F25" s="5" t="inlineStr">
        <is>
          <t>Kishmish Indian</t>
        </is>
      </c>
      <c r="G25" s="5" t="inlineStr">
        <is>
          <t>SK-018</t>
        </is>
      </c>
      <c r="H25" s="5" t="inlineStr">
        <is>
          <t>250g</t>
        </is>
      </c>
      <c r="I25" s="6" t="n">
        <v>299</v>
      </c>
      <c r="J25" s="6" t="n">
        <v>1796</v>
      </c>
      <c r="K25" s="6" t="n">
        <v>1503</v>
      </c>
      <c r="L25" s="5" t="inlineStr">
        <is>
          <t>1 × 250g @ ₹299</t>
        </is>
      </c>
      <c r="M25" s="5" t="inlineStr">
        <is>
          <t>Ready</t>
        </is>
      </c>
    </row>
    <row r="26" ht="36" customHeight="1">
      <c r="A26" s="4" t="n">
        <v>23</v>
      </c>
      <c r="B26" s="5" t="inlineStr">
        <is>
          <t>Classic Four Nut Basket</t>
        </is>
      </c>
      <c r="C26" s="6" t="n">
        <v>3299</v>
      </c>
      <c r="D26" s="5" t="inlineStr">
        <is>
          <t>Round wicker basket</t>
        </is>
      </c>
      <c r="E26" s="17" t="inlineStr">
        <is>
          <t>Packaging / Decorative</t>
        </is>
      </c>
      <c r="F26" s="5" t="inlineStr">
        <is>
          <t>—</t>
        </is>
      </c>
      <c r="G26" s="5" t="inlineStr">
        <is>
          <t>—</t>
        </is>
      </c>
      <c r="H26" s="5" t="inlineStr">
        <is>
          <t>—</t>
        </is>
      </c>
      <c r="I26" s="18" t="n">
        <v>0</v>
      </c>
      <c r="J26" s="6" t="n">
        <v>1796</v>
      </c>
      <c r="K26" s="6" t="n">
        <v>1503</v>
      </c>
      <c r="L26" s="5" t="inlineStr">
        <is>
          <t>Packaging — basket cost is hamper price minus product cost</t>
        </is>
      </c>
      <c r="M26" s="5" t="inlineStr">
        <is>
          <t>Ready</t>
        </is>
      </c>
    </row>
    <row r="27" ht="36" customHeight="1">
      <c r="A27" s="9" t="n">
        <v>24</v>
      </c>
      <c r="B27" s="10" t="inlineStr">
        <is>
          <t>Orchard Mixed Basket</t>
        </is>
      </c>
      <c r="C27" s="11" t="n">
        <v>3299</v>
      </c>
      <c r="D27" s="10" t="inlineStr">
        <is>
          <t>Kaju 250g</t>
        </is>
      </c>
      <c r="E27" s="16" t="inlineStr">
        <is>
          <t>Product</t>
        </is>
      </c>
      <c r="F27" s="10" t="inlineStr">
        <is>
          <t>Kaju 320 N</t>
        </is>
      </c>
      <c r="G27" s="10" t="inlineStr">
        <is>
          <t>SK-001</t>
        </is>
      </c>
      <c r="H27" s="10" t="inlineStr">
        <is>
          <t>250g</t>
        </is>
      </c>
      <c r="I27" s="11" t="n">
        <v>499</v>
      </c>
      <c r="J27" s="11" t="n">
        <v>2694</v>
      </c>
      <c r="K27" s="12" t="n">
        <v>605</v>
      </c>
      <c r="L27" s="10" t="inlineStr">
        <is>
          <t>1 × 250g @ ₹499</t>
        </is>
      </c>
      <c r="M27" s="10" t="inlineStr">
        <is>
          <t>Ready</t>
        </is>
      </c>
    </row>
    <row r="28" ht="36" customHeight="1">
      <c r="A28" s="9" t="n">
        <v>25</v>
      </c>
      <c r="B28" s="10" t="inlineStr">
        <is>
          <t>Orchard Mixed Basket</t>
        </is>
      </c>
      <c r="C28" s="11" t="n">
        <v>3299</v>
      </c>
      <c r="D28" s="10" t="inlineStr">
        <is>
          <t>Badam 250g</t>
        </is>
      </c>
      <c r="E28" s="16" t="inlineStr">
        <is>
          <t>Product</t>
        </is>
      </c>
      <c r="F28" s="10" t="inlineStr">
        <is>
          <t>Badam CF</t>
        </is>
      </c>
      <c r="G28" s="10" t="inlineStr">
        <is>
          <t>SK-008</t>
        </is>
      </c>
      <c r="H28" s="10" t="inlineStr">
        <is>
          <t>250g</t>
        </is>
      </c>
      <c r="I28" s="11" t="n">
        <v>399</v>
      </c>
      <c r="J28" s="11" t="n">
        <v>2694</v>
      </c>
      <c r="K28" s="11" t="n">
        <v>605</v>
      </c>
      <c r="L28" s="10" t="inlineStr">
        <is>
          <t>1 × 250g @ ₹399</t>
        </is>
      </c>
      <c r="M28" s="10" t="inlineStr">
        <is>
          <t>Ready</t>
        </is>
      </c>
    </row>
    <row r="29" ht="36" customHeight="1">
      <c r="A29" s="9" t="n">
        <v>26</v>
      </c>
      <c r="B29" s="10" t="inlineStr">
        <is>
          <t>Orchard Mixed Basket</t>
        </is>
      </c>
      <c r="C29" s="11" t="n">
        <v>3299</v>
      </c>
      <c r="D29" s="10" t="inlineStr">
        <is>
          <t>Pista 250g</t>
        </is>
      </c>
      <c r="E29" s="16" t="inlineStr">
        <is>
          <t>Product</t>
        </is>
      </c>
      <c r="F29" s="10" t="inlineStr">
        <is>
          <t>Pista</t>
        </is>
      </c>
      <c r="G29" s="10" t="inlineStr">
        <is>
          <t>SK-014</t>
        </is>
      </c>
      <c r="H29" s="10" t="inlineStr">
        <is>
          <t>250g</t>
        </is>
      </c>
      <c r="I29" s="11" t="n">
        <v>599</v>
      </c>
      <c r="J29" s="11" t="n">
        <v>2694</v>
      </c>
      <c r="K29" s="11" t="n">
        <v>605</v>
      </c>
      <c r="L29" s="10" t="inlineStr">
        <is>
          <t>1 × 250g @ ₹599</t>
        </is>
      </c>
      <c r="M29" s="10" t="inlineStr">
        <is>
          <t>Ready</t>
        </is>
      </c>
    </row>
    <row r="30" ht="36" customHeight="1">
      <c r="A30" s="9" t="n">
        <v>27</v>
      </c>
      <c r="B30" s="10" t="inlineStr">
        <is>
          <t>Orchard Mixed Basket</t>
        </is>
      </c>
      <c r="C30" s="11" t="n">
        <v>3299</v>
      </c>
      <c r="D30" s="10" t="inlineStr">
        <is>
          <t>Raisins 250g</t>
        </is>
      </c>
      <c r="E30" s="16" t="inlineStr">
        <is>
          <t>Product</t>
        </is>
      </c>
      <c r="F30" s="10" t="inlineStr">
        <is>
          <t>Kishmish Indian</t>
        </is>
      </c>
      <c r="G30" s="10" t="inlineStr">
        <is>
          <t>SK-018</t>
        </is>
      </c>
      <c r="H30" s="10" t="inlineStr">
        <is>
          <t>250g</t>
        </is>
      </c>
      <c r="I30" s="11" t="n">
        <v>299</v>
      </c>
      <c r="J30" s="11" t="n">
        <v>2694</v>
      </c>
      <c r="K30" s="11" t="n">
        <v>605</v>
      </c>
      <c r="L30" s="10" t="inlineStr">
        <is>
          <t>1 × 250g @ ₹299</t>
        </is>
      </c>
      <c r="M30" s="10" t="inlineStr">
        <is>
          <t>Ready</t>
        </is>
      </c>
    </row>
    <row r="31" ht="36" customHeight="1">
      <c r="A31" s="9" t="n">
        <v>28</v>
      </c>
      <c r="B31" s="10" t="inlineStr">
        <is>
          <t>Orchard Mixed Basket</t>
        </is>
      </c>
      <c r="C31" s="11" t="n">
        <v>3299</v>
      </c>
      <c r="D31" s="10" t="inlineStr">
        <is>
          <t>Mix Seeds 250g</t>
        </is>
      </c>
      <c r="E31" s="16" t="inlineStr">
        <is>
          <t>Product</t>
        </is>
      </c>
      <c r="F31" s="10" t="inlineStr">
        <is>
          <t>Mix Seeds</t>
        </is>
      </c>
      <c r="G31" s="10" t="inlineStr">
        <is>
          <t>SK-040</t>
        </is>
      </c>
      <c r="H31" s="10" t="inlineStr">
        <is>
          <t>250g</t>
        </is>
      </c>
      <c r="I31" s="11" t="n">
        <v>399</v>
      </c>
      <c r="J31" s="11" t="n">
        <v>2694</v>
      </c>
      <c r="K31" s="11" t="n">
        <v>605</v>
      </c>
      <c r="L31" s="10" t="inlineStr">
        <is>
          <t>1 × 250g @ ₹399</t>
        </is>
      </c>
      <c r="M31" s="10" t="inlineStr">
        <is>
          <t>Ready</t>
        </is>
      </c>
    </row>
    <row r="32" ht="36" customHeight="1">
      <c r="A32" s="9" t="n">
        <v>29</v>
      </c>
      <c r="B32" s="10" t="inlineStr">
        <is>
          <t>Orchard Mixed Basket</t>
        </is>
      </c>
      <c r="C32" s="11" t="n">
        <v>3299</v>
      </c>
      <c r="D32" s="10" t="inlineStr">
        <is>
          <t>Apricot 250g</t>
        </is>
      </c>
      <c r="E32" s="16" t="inlineStr">
        <is>
          <t>Product</t>
        </is>
      </c>
      <c r="F32" s="10" t="inlineStr">
        <is>
          <t>Khubani (Apricot)</t>
        </is>
      </c>
      <c r="G32" s="10" t="inlineStr">
        <is>
          <t>SK-039</t>
        </is>
      </c>
      <c r="H32" s="10" t="inlineStr">
        <is>
          <t>250g</t>
        </is>
      </c>
      <c r="I32" s="11" t="n">
        <v>499</v>
      </c>
      <c r="J32" s="11" t="n">
        <v>2694</v>
      </c>
      <c r="K32" s="11" t="n">
        <v>605</v>
      </c>
      <c r="L32" s="10" t="inlineStr">
        <is>
          <t>1 × 250g @ ₹499</t>
        </is>
      </c>
      <c r="M32" s="10" t="inlineStr">
        <is>
          <t>Ready</t>
        </is>
      </c>
    </row>
    <row r="33" ht="36" customHeight="1">
      <c r="A33" s="9" t="n">
        <v>30</v>
      </c>
      <c r="B33" s="10" t="inlineStr">
        <is>
          <t>Orchard Mixed Basket</t>
        </is>
      </c>
      <c r="C33" s="11" t="n">
        <v>3299</v>
      </c>
      <c r="D33" s="10" t="inlineStr">
        <is>
          <t>Festive woven basket</t>
        </is>
      </c>
      <c r="E33" s="17" t="inlineStr">
        <is>
          <t>Packaging / Decorative</t>
        </is>
      </c>
      <c r="F33" s="10" t="inlineStr">
        <is>
          <t>—</t>
        </is>
      </c>
      <c r="G33" s="10" t="inlineStr">
        <is>
          <t>—</t>
        </is>
      </c>
      <c r="H33" s="10" t="inlineStr">
        <is>
          <t>—</t>
        </is>
      </c>
      <c r="I33" s="18" t="n">
        <v>0</v>
      </c>
      <c r="J33" s="11" t="n">
        <v>2694</v>
      </c>
      <c r="K33" s="11" t="n">
        <v>605</v>
      </c>
      <c r="L33" s="10" t="inlineStr">
        <is>
          <t>Packaging — basket cost is hamper price minus product cost</t>
        </is>
      </c>
      <c r="M33" s="10" t="inlineStr">
        <is>
          <t>Ready</t>
        </is>
      </c>
    </row>
    <row r="34" ht="36" customHeight="1">
      <c r="A34" s="4" t="n">
        <v>31</v>
      </c>
      <c r="B34" s="5" t="inlineStr">
        <is>
          <t>Grand Celebration Basket</t>
        </is>
      </c>
      <c r="C34" s="6" t="n">
        <v>6399</v>
      </c>
      <c r="D34" s="5" t="inlineStr">
        <is>
          <t>Roasted Namkeen 750g</t>
        </is>
      </c>
      <c r="E34" s="16" t="inlineStr">
        <is>
          <t>Product</t>
        </is>
      </c>
      <c r="F34" s="5" t="inlineStr">
        <is>
          <t>Roasted Namkeen</t>
        </is>
      </c>
      <c r="G34" s="5" t="inlineStr">
        <is>
          <t>SK-071</t>
        </is>
      </c>
      <c r="H34" s="5" t="inlineStr">
        <is>
          <t>750g</t>
        </is>
      </c>
      <c r="I34" s="6" t="n">
        <v>1098</v>
      </c>
      <c r="J34" s="6" t="n">
        <v>5593</v>
      </c>
      <c r="K34" s="7" t="n">
        <v>806</v>
      </c>
      <c r="L34" s="5" t="inlineStr">
        <is>
          <t>1 × 500g @ ₹699; 1 × 250g @ ₹399</t>
        </is>
      </c>
      <c r="M34" s="5" t="inlineStr">
        <is>
          <t>Ready</t>
        </is>
      </c>
    </row>
    <row r="35" ht="36" customHeight="1">
      <c r="A35" s="4" t="n">
        <v>32</v>
      </c>
      <c r="B35" s="5" t="inlineStr">
        <is>
          <t>Grand Celebration Basket</t>
        </is>
      </c>
      <c r="C35" s="6" t="n">
        <v>6399</v>
      </c>
      <c r="D35" s="5" t="inlineStr">
        <is>
          <t>Kaju 500g</t>
        </is>
      </c>
      <c r="E35" s="16" t="inlineStr">
        <is>
          <t>Product</t>
        </is>
      </c>
      <c r="F35" s="5" t="inlineStr">
        <is>
          <t>Kaju 320 N</t>
        </is>
      </c>
      <c r="G35" s="5" t="inlineStr">
        <is>
          <t>SK-001</t>
        </is>
      </c>
      <c r="H35" s="5" t="inlineStr">
        <is>
          <t>500g</t>
        </is>
      </c>
      <c r="I35" s="6" t="n">
        <v>999</v>
      </c>
      <c r="J35" s="6" t="n">
        <v>5593</v>
      </c>
      <c r="K35" s="6" t="n">
        <v>806</v>
      </c>
      <c r="L35" s="5" t="inlineStr">
        <is>
          <t>1 × 500g @ ₹999</t>
        </is>
      </c>
      <c r="M35" s="5" t="inlineStr">
        <is>
          <t>Ready</t>
        </is>
      </c>
    </row>
    <row r="36" ht="36" customHeight="1">
      <c r="A36" s="4" t="n">
        <v>33</v>
      </c>
      <c r="B36" s="5" t="inlineStr">
        <is>
          <t>Grand Celebration Basket</t>
        </is>
      </c>
      <c r="C36" s="6" t="n">
        <v>6399</v>
      </c>
      <c r="D36" s="5" t="inlineStr">
        <is>
          <t>Badam 500g</t>
        </is>
      </c>
      <c r="E36" s="16" t="inlineStr">
        <is>
          <t>Product</t>
        </is>
      </c>
      <c r="F36" s="5" t="inlineStr">
        <is>
          <t>Badam CF</t>
        </is>
      </c>
      <c r="G36" s="5" t="inlineStr">
        <is>
          <t>SK-008</t>
        </is>
      </c>
      <c r="H36" s="5" t="inlineStr">
        <is>
          <t>500g</t>
        </is>
      </c>
      <c r="I36" s="6" t="n">
        <v>799</v>
      </c>
      <c r="J36" s="6" t="n">
        <v>5593</v>
      </c>
      <c r="K36" s="6" t="n">
        <v>806</v>
      </c>
      <c r="L36" s="5" t="inlineStr">
        <is>
          <t>1 × 500g @ ₹799</t>
        </is>
      </c>
      <c r="M36" s="5" t="inlineStr">
        <is>
          <t>Ready</t>
        </is>
      </c>
    </row>
    <row r="37" ht="36" customHeight="1">
      <c r="A37" s="4" t="n">
        <v>34</v>
      </c>
      <c r="B37" s="5" t="inlineStr">
        <is>
          <t>Grand Celebration Basket</t>
        </is>
      </c>
      <c r="C37" s="6" t="n">
        <v>6399</v>
      </c>
      <c r="D37" s="5" t="inlineStr">
        <is>
          <t>Pista 500g</t>
        </is>
      </c>
      <c r="E37" s="16" t="inlineStr">
        <is>
          <t>Product</t>
        </is>
      </c>
      <c r="F37" s="5" t="inlineStr">
        <is>
          <t>Pista</t>
        </is>
      </c>
      <c r="G37" s="5" t="inlineStr">
        <is>
          <t>SK-014</t>
        </is>
      </c>
      <c r="H37" s="5" t="inlineStr">
        <is>
          <t>500g</t>
        </is>
      </c>
      <c r="I37" s="6" t="n">
        <v>1099</v>
      </c>
      <c r="J37" s="6" t="n">
        <v>5593</v>
      </c>
      <c r="K37" s="6" t="n">
        <v>806</v>
      </c>
      <c r="L37" s="5" t="inlineStr">
        <is>
          <t>1 × 500g @ ₹1099</t>
        </is>
      </c>
      <c r="M37" s="5" t="inlineStr">
        <is>
          <t>Ready</t>
        </is>
      </c>
    </row>
    <row r="38" ht="36" customHeight="1">
      <c r="A38" s="4" t="n">
        <v>35</v>
      </c>
      <c r="B38" s="5" t="inlineStr">
        <is>
          <t>Grand Celebration Basket</t>
        </is>
      </c>
      <c r="C38" s="6" t="n">
        <v>6399</v>
      </c>
      <c r="D38" s="5" t="inlineStr">
        <is>
          <t>Kishmish 500g</t>
        </is>
      </c>
      <c r="E38" s="16" t="inlineStr">
        <is>
          <t>Product</t>
        </is>
      </c>
      <c r="F38" s="5" t="inlineStr">
        <is>
          <t>Kishmish Indian</t>
        </is>
      </c>
      <c r="G38" s="5" t="inlineStr">
        <is>
          <t>SK-018</t>
        </is>
      </c>
      <c r="H38" s="5" t="inlineStr">
        <is>
          <t>500g</t>
        </is>
      </c>
      <c r="I38" s="6" t="n">
        <v>599</v>
      </c>
      <c r="J38" s="6" t="n">
        <v>5593</v>
      </c>
      <c r="K38" s="6" t="n">
        <v>806</v>
      </c>
      <c r="L38" s="5" t="inlineStr">
        <is>
          <t>1 × 500g @ ₹599</t>
        </is>
      </c>
      <c r="M38" s="5" t="inlineStr">
        <is>
          <t>Ready</t>
        </is>
      </c>
    </row>
    <row r="39" ht="36" customHeight="1">
      <c r="A39" s="4" t="n">
        <v>36</v>
      </c>
      <c r="B39" s="5" t="inlineStr">
        <is>
          <t>Grand Celebration Basket</t>
        </is>
      </c>
      <c r="C39" s="6" t="n">
        <v>6399</v>
      </c>
      <c r="D39" s="5" t="inlineStr">
        <is>
          <t>Walnut 250g</t>
        </is>
      </c>
      <c r="E39" s="16" t="inlineStr">
        <is>
          <t>Product</t>
        </is>
      </c>
      <c r="F39" s="5" t="inlineStr">
        <is>
          <t>Walnut Premium</t>
        </is>
      </c>
      <c r="G39" s="5" t="inlineStr">
        <is>
          <t>SK-028</t>
        </is>
      </c>
      <c r="H39" s="5" t="inlineStr">
        <is>
          <t>250g</t>
        </is>
      </c>
      <c r="I39" s="6" t="n">
        <v>999</v>
      </c>
      <c r="J39" s="6" t="n">
        <v>5593</v>
      </c>
      <c r="K39" s="6" t="n">
        <v>806</v>
      </c>
      <c r="L39" s="5" t="inlineStr">
        <is>
          <t>1 × 250g @ ₹999</t>
        </is>
      </c>
      <c r="M39" s="5" t="inlineStr">
        <is>
          <t>Ready</t>
        </is>
      </c>
    </row>
    <row r="40" ht="36" customHeight="1">
      <c r="A40" s="4" t="n">
        <v>37</v>
      </c>
      <c r="B40" s="5" t="inlineStr">
        <is>
          <t>Grand Celebration Basket</t>
        </is>
      </c>
      <c r="C40" s="6" t="n">
        <v>6399</v>
      </c>
      <c r="D40" s="5" t="inlineStr">
        <is>
          <t>Large round basket</t>
        </is>
      </c>
      <c r="E40" s="17" t="inlineStr">
        <is>
          <t>Packaging / Decorative</t>
        </is>
      </c>
      <c r="F40" s="5" t="inlineStr">
        <is>
          <t>—</t>
        </is>
      </c>
      <c r="G40" s="5" t="inlineStr">
        <is>
          <t>—</t>
        </is>
      </c>
      <c r="H40" s="5" t="inlineStr">
        <is>
          <t>—</t>
        </is>
      </c>
      <c r="I40" s="18" t="n">
        <v>0</v>
      </c>
      <c r="J40" s="6" t="n">
        <v>5593</v>
      </c>
      <c r="K40" s="6" t="n">
        <v>806</v>
      </c>
      <c r="L40" s="5" t="inlineStr">
        <is>
          <t>Packaging — basket cost is hamper price minus product cost</t>
        </is>
      </c>
      <c r="M40" s="5" t="inlineStr">
        <is>
          <t>Ready</t>
        </is>
      </c>
    </row>
    <row r="41" ht="36" customHeight="1">
      <c r="A41" s="9" t="n">
        <v>38</v>
      </c>
      <c r="B41" s="10" t="inlineStr">
        <is>
          <t>Pink Tulle Basket</t>
        </is>
      </c>
      <c r="C41" s="11" t="n">
        <v>3599</v>
      </c>
      <c r="D41" s="10" t="inlineStr">
        <is>
          <t>Kaju 250g</t>
        </is>
      </c>
      <c r="E41" s="16" t="inlineStr">
        <is>
          <t>Product</t>
        </is>
      </c>
      <c r="F41" s="10" t="inlineStr">
        <is>
          <t>Kaju 320 N</t>
        </is>
      </c>
      <c r="G41" s="10" t="inlineStr">
        <is>
          <t>SK-001</t>
        </is>
      </c>
      <c r="H41" s="10" t="inlineStr">
        <is>
          <t>250g</t>
        </is>
      </c>
      <c r="I41" s="11" t="n">
        <v>499</v>
      </c>
      <c r="J41" s="11" t="n">
        <v>3194</v>
      </c>
      <c r="K41" s="12" t="n">
        <v>405</v>
      </c>
      <c r="L41" s="10" t="inlineStr">
        <is>
          <t>1 × 250g @ ₹499</t>
        </is>
      </c>
      <c r="M41" s="10" t="inlineStr">
        <is>
          <t>Ready</t>
        </is>
      </c>
    </row>
    <row r="42" ht="36" customHeight="1">
      <c r="A42" s="9" t="n">
        <v>39</v>
      </c>
      <c r="B42" s="10" t="inlineStr">
        <is>
          <t>Pink Tulle Basket</t>
        </is>
      </c>
      <c r="C42" s="11" t="n">
        <v>3599</v>
      </c>
      <c r="D42" s="10" t="inlineStr">
        <is>
          <t>Badam 250g</t>
        </is>
      </c>
      <c r="E42" s="16" t="inlineStr">
        <is>
          <t>Product</t>
        </is>
      </c>
      <c r="F42" s="10" t="inlineStr">
        <is>
          <t>Badam CF</t>
        </is>
      </c>
      <c r="G42" s="10" t="inlineStr">
        <is>
          <t>SK-008</t>
        </is>
      </c>
      <c r="H42" s="10" t="inlineStr">
        <is>
          <t>250g</t>
        </is>
      </c>
      <c r="I42" s="11" t="n">
        <v>399</v>
      </c>
      <c r="J42" s="11" t="n">
        <v>3194</v>
      </c>
      <c r="K42" s="11" t="n">
        <v>405</v>
      </c>
      <c r="L42" s="10" t="inlineStr">
        <is>
          <t>1 × 250g @ ₹399</t>
        </is>
      </c>
      <c r="M42" s="10" t="inlineStr">
        <is>
          <t>Ready</t>
        </is>
      </c>
    </row>
    <row r="43" ht="36" customHeight="1">
      <c r="A43" s="9" t="n">
        <v>40</v>
      </c>
      <c r="B43" s="10" t="inlineStr">
        <is>
          <t>Pink Tulle Basket</t>
        </is>
      </c>
      <c r="C43" s="11" t="n">
        <v>3599</v>
      </c>
      <c r="D43" s="10" t="inlineStr">
        <is>
          <t>Pista 250g</t>
        </is>
      </c>
      <c r="E43" s="16" t="inlineStr">
        <is>
          <t>Product</t>
        </is>
      </c>
      <c r="F43" s="10" t="inlineStr">
        <is>
          <t>Pista</t>
        </is>
      </c>
      <c r="G43" s="10" t="inlineStr">
        <is>
          <t>SK-014</t>
        </is>
      </c>
      <c r="H43" s="10" t="inlineStr">
        <is>
          <t>250g</t>
        </is>
      </c>
      <c r="I43" s="11" t="n">
        <v>599</v>
      </c>
      <c r="J43" s="11" t="n">
        <v>3194</v>
      </c>
      <c r="K43" s="11" t="n">
        <v>405</v>
      </c>
      <c r="L43" s="10" t="inlineStr">
        <is>
          <t>1 × 250g @ ₹599</t>
        </is>
      </c>
      <c r="M43" s="10" t="inlineStr">
        <is>
          <t>Ready</t>
        </is>
      </c>
    </row>
    <row r="44" ht="36" customHeight="1">
      <c r="A44" s="9" t="n">
        <v>41</v>
      </c>
      <c r="B44" s="10" t="inlineStr">
        <is>
          <t>Pink Tulle Basket</t>
        </is>
      </c>
      <c r="C44" s="11" t="n">
        <v>3599</v>
      </c>
      <c r="D44" s="10" t="inlineStr">
        <is>
          <t>Kishmish 250g</t>
        </is>
      </c>
      <c r="E44" s="16" t="inlineStr">
        <is>
          <t>Product</t>
        </is>
      </c>
      <c r="F44" s="10" t="inlineStr">
        <is>
          <t>Kishmish Indian</t>
        </is>
      </c>
      <c r="G44" s="10" t="inlineStr">
        <is>
          <t>SK-018</t>
        </is>
      </c>
      <c r="H44" s="10" t="inlineStr">
        <is>
          <t>250g</t>
        </is>
      </c>
      <c r="I44" s="11" t="n">
        <v>299</v>
      </c>
      <c r="J44" s="11" t="n">
        <v>3194</v>
      </c>
      <c r="K44" s="11" t="n">
        <v>405</v>
      </c>
      <c r="L44" s="10" t="inlineStr">
        <is>
          <t>1 × 250g @ ₹299</t>
        </is>
      </c>
      <c r="M44" s="10" t="inlineStr">
        <is>
          <t>Ready</t>
        </is>
      </c>
    </row>
    <row r="45" ht="36" customHeight="1">
      <c r="A45" s="9" t="n">
        <v>42</v>
      </c>
      <c r="B45" s="10" t="inlineStr">
        <is>
          <t>Pink Tulle Basket</t>
        </is>
      </c>
      <c r="C45" s="11" t="n">
        <v>3599</v>
      </c>
      <c r="D45" s="10" t="inlineStr">
        <is>
          <t>Akhrot 250g</t>
        </is>
      </c>
      <c r="E45" s="16" t="inlineStr">
        <is>
          <t>Product</t>
        </is>
      </c>
      <c r="F45" s="10" t="inlineStr">
        <is>
          <t>Walnut Premium</t>
        </is>
      </c>
      <c r="G45" s="10" t="inlineStr">
        <is>
          <t>SK-028</t>
        </is>
      </c>
      <c r="H45" s="10" t="inlineStr">
        <is>
          <t>250g</t>
        </is>
      </c>
      <c r="I45" s="11" t="n">
        <v>999</v>
      </c>
      <c r="J45" s="11" t="n">
        <v>3194</v>
      </c>
      <c r="K45" s="11" t="n">
        <v>405</v>
      </c>
      <c r="L45" s="10" t="inlineStr">
        <is>
          <t>1 × 250g @ ₹999</t>
        </is>
      </c>
      <c r="M45" s="10" t="inlineStr">
        <is>
          <t>Ready</t>
        </is>
      </c>
    </row>
    <row r="46" ht="36" customHeight="1">
      <c r="A46" s="9" t="n">
        <v>43</v>
      </c>
      <c r="B46" s="10" t="inlineStr">
        <is>
          <t>Pink Tulle Basket</t>
        </is>
      </c>
      <c r="C46" s="11" t="n">
        <v>3599</v>
      </c>
      <c r="D46" s="10" t="inlineStr">
        <is>
          <t>Roasted Namkeen 250g</t>
        </is>
      </c>
      <c r="E46" s="16" t="inlineStr">
        <is>
          <t>Product</t>
        </is>
      </c>
      <c r="F46" s="10" t="inlineStr">
        <is>
          <t>Roasted Namkeen</t>
        </is>
      </c>
      <c r="G46" s="10" t="inlineStr">
        <is>
          <t>SK-071</t>
        </is>
      </c>
      <c r="H46" s="10" t="inlineStr">
        <is>
          <t>250g</t>
        </is>
      </c>
      <c r="I46" s="11" t="n">
        <v>399</v>
      </c>
      <c r="J46" s="11" t="n">
        <v>3194</v>
      </c>
      <c r="K46" s="11" t="n">
        <v>405</v>
      </c>
      <c r="L46" s="10" t="inlineStr">
        <is>
          <t>Hamper net 1.5 kg − 1.25 kg nuts = 250g namkeen (weight was not listed on the original card)</t>
        </is>
      </c>
      <c r="M46" s="10" t="inlineStr">
        <is>
          <t>Ready</t>
        </is>
      </c>
    </row>
    <row r="47" ht="36" customHeight="1">
      <c r="A47" s="9" t="n">
        <v>44</v>
      </c>
      <c r="B47" s="10" t="inlineStr">
        <is>
          <t>Pink Tulle Basket</t>
        </is>
      </c>
      <c r="C47" s="11" t="n">
        <v>3599</v>
      </c>
      <c r="D47" s="10" t="inlineStr">
        <is>
          <t>Rope basket with pink tulle</t>
        </is>
      </c>
      <c r="E47" s="17" t="inlineStr">
        <is>
          <t>Packaging / Decorative</t>
        </is>
      </c>
      <c r="F47" s="10" t="inlineStr">
        <is>
          <t>—</t>
        </is>
      </c>
      <c r="G47" s="10" t="inlineStr">
        <is>
          <t>—</t>
        </is>
      </c>
      <c r="H47" s="10" t="inlineStr">
        <is>
          <t>—</t>
        </is>
      </c>
      <c r="I47" s="18" t="n">
        <v>0</v>
      </c>
      <c r="J47" s="11" t="n">
        <v>3194</v>
      </c>
      <c r="K47" s="11" t="n">
        <v>405</v>
      </c>
      <c r="L47" s="10" t="inlineStr">
        <is>
          <t>Packaging — basket cost is hamper price minus product cost</t>
        </is>
      </c>
      <c r="M47" s="10" t="inlineStr">
        <is>
          <t>Ready</t>
        </is>
      </c>
    </row>
    <row r="48" ht="36" customHeight="1">
      <c r="A48" s="4" t="n">
        <v>45</v>
      </c>
      <c r="B48" s="5" t="inlineStr">
        <is>
          <t>Royal Copper Tray</t>
        </is>
      </c>
      <c r="C48" s="6" t="n">
        <v>4299</v>
      </c>
      <c r="D48" s="5" t="inlineStr">
        <is>
          <t>Cashew 500g</t>
        </is>
      </c>
      <c r="E48" s="16" t="inlineStr">
        <is>
          <t>Product</t>
        </is>
      </c>
      <c r="F48" s="5" t="inlineStr">
        <is>
          <t>Kaju 320 N</t>
        </is>
      </c>
      <c r="G48" s="5" t="inlineStr">
        <is>
          <t>SK-001</t>
        </is>
      </c>
      <c r="H48" s="5" t="inlineStr">
        <is>
          <t>500g</t>
        </is>
      </c>
      <c r="I48" s="6" t="n">
        <v>999</v>
      </c>
      <c r="J48" s="6" t="n">
        <v>3496</v>
      </c>
      <c r="K48" s="7" t="n">
        <v>803</v>
      </c>
      <c r="L48" s="5" t="inlineStr">
        <is>
          <t>1 × 500g @ ₹999</t>
        </is>
      </c>
      <c r="M48" s="5" t="inlineStr">
        <is>
          <t>Ready</t>
        </is>
      </c>
    </row>
    <row r="49" ht="36" customHeight="1">
      <c r="A49" s="4" t="n">
        <v>46</v>
      </c>
      <c r="B49" s="5" t="inlineStr">
        <is>
          <t>Royal Copper Tray</t>
        </is>
      </c>
      <c r="C49" s="6" t="n">
        <v>4299</v>
      </c>
      <c r="D49" s="5" t="inlineStr">
        <is>
          <t>Almond 500g</t>
        </is>
      </c>
      <c r="E49" s="16" t="inlineStr">
        <is>
          <t>Product</t>
        </is>
      </c>
      <c r="F49" s="5" t="inlineStr">
        <is>
          <t>Badam CF</t>
        </is>
      </c>
      <c r="G49" s="5" t="inlineStr">
        <is>
          <t>SK-008</t>
        </is>
      </c>
      <c r="H49" s="5" t="inlineStr">
        <is>
          <t>500g</t>
        </is>
      </c>
      <c r="I49" s="6" t="n">
        <v>799</v>
      </c>
      <c r="J49" s="6" t="n">
        <v>3496</v>
      </c>
      <c r="K49" s="6" t="n">
        <v>803</v>
      </c>
      <c r="L49" s="5" t="inlineStr">
        <is>
          <t>1 × 500g @ ₹799</t>
        </is>
      </c>
      <c r="M49" s="5" t="inlineStr">
        <is>
          <t>Ready</t>
        </is>
      </c>
    </row>
    <row r="50" ht="36" customHeight="1">
      <c r="A50" s="4" t="n">
        <v>47</v>
      </c>
      <c r="B50" s="5" t="inlineStr">
        <is>
          <t>Royal Copper Tray</t>
        </is>
      </c>
      <c r="C50" s="6" t="n">
        <v>4299</v>
      </c>
      <c r="D50" s="5" t="inlineStr">
        <is>
          <t>Raisins 500g</t>
        </is>
      </c>
      <c r="E50" s="16" t="inlineStr">
        <is>
          <t>Product</t>
        </is>
      </c>
      <c r="F50" s="5" t="inlineStr">
        <is>
          <t>Kishmish Indian</t>
        </is>
      </c>
      <c r="G50" s="5" t="inlineStr">
        <is>
          <t>SK-018</t>
        </is>
      </c>
      <c r="H50" s="5" t="inlineStr">
        <is>
          <t>500g</t>
        </is>
      </c>
      <c r="I50" s="6" t="n">
        <v>599</v>
      </c>
      <c r="J50" s="6" t="n">
        <v>3496</v>
      </c>
      <c r="K50" s="6" t="n">
        <v>803</v>
      </c>
      <c r="L50" s="5" t="inlineStr">
        <is>
          <t>1 × 500g @ ₹599</t>
        </is>
      </c>
      <c r="M50" s="5" t="inlineStr">
        <is>
          <t>Ready</t>
        </is>
      </c>
    </row>
    <row r="51" ht="36" customHeight="1">
      <c r="A51" s="4" t="n">
        <v>48</v>
      </c>
      <c r="B51" s="5" t="inlineStr">
        <is>
          <t>Royal Copper Tray</t>
        </is>
      </c>
      <c r="C51" s="6" t="n">
        <v>4299</v>
      </c>
      <c r="D51" s="5" t="inlineStr">
        <is>
          <t>Pistachio 500g</t>
        </is>
      </c>
      <c r="E51" s="16" t="inlineStr">
        <is>
          <t>Product</t>
        </is>
      </c>
      <c r="F51" s="5" t="inlineStr">
        <is>
          <t>Pista</t>
        </is>
      </c>
      <c r="G51" s="5" t="inlineStr">
        <is>
          <t>SK-014</t>
        </is>
      </c>
      <c r="H51" s="5" t="inlineStr">
        <is>
          <t>500g</t>
        </is>
      </c>
      <c r="I51" s="6" t="n">
        <v>1099</v>
      </c>
      <c r="J51" s="6" t="n">
        <v>3496</v>
      </c>
      <c r="K51" s="6" t="n">
        <v>803</v>
      </c>
      <c r="L51" s="5" t="inlineStr">
        <is>
          <t>1 × 500g @ ₹1099</t>
        </is>
      </c>
      <c r="M51" s="5" t="inlineStr">
        <is>
          <t>Ready</t>
        </is>
      </c>
    </row>
    <row r="52" ht="36" customHeight="1">
      <c r="A52" s="4" t="n">
        <v>49</v>
      </c>
      <c r="B52" s="5" t="inlineStr">
        <is>
          <t>Royal Copper Tray</t>
        </is>
      </c>
      <c r="C52" s="6" t="n">
        <v>4299</v>
      </c>
      <c r="D52" s="5" t="inlineStr">
        <is>
          <t>Ornate round copper tray</t>
        </is>
      </c>
      <c r="E52" s="17" t="inlineStr">
        <is>
          <t>Packaging / Decorative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—</t>
        </is>
      </c>
      <c r="I52" s="18" t="n">
        <v>0</v>
      </c>
      <c r="J52" s="6" t="n">
        <v>3496</v>
      </c>
      <c r="K52" s="6" t="n">
        <v>803</v>
      </c>
      <c r="L52" s="5" t="inlineStr">
        <is>
          <t>Packaging — tray cost is hamper price minus product cost</t>
        </is>
      </c>
      <c r="M52" s="5" t="inlineStr">
        <is>
          <t>Ready</t>
        </is>
      </c>
    </row>
    <row r="53" ht="36" customHeight="1">
      <c r="A53" s="9" t="n">
        <v>50</v>
      </c>
      <c r="B53" s="10" t="inlineStr">
        <is>
          <t>Gold Elephant Stand</t>
        </is>
      </c>
      <c r="C53" s="11" t="n">
        <v>3999</v>
      </c>
      <c r="D53" s="10" t="inlineStr">
        <is>
          <t>Kaju 250g</t>
        </is>
      </c>
      <c r="E53" s="16" t="inlineStr">
        <is>
          <t>Product</t>
        </is>
      </c>
      <c r="F53" s="10" t="inlineStr">
        <is>
          <t>Kaju 320 N</t>
        </is>
      </c>
      <c r="G53" s="10" t="inlineStr">
        <is>
          <t>SK-001</t>
        </is>
      </c>
      <c r="H53" s="10" t="inlineStr">
        <is>
          <t>250g</t>
        </is>
      </c>
      <c r="I53" s="11" t="n">
        <v>499</v>
      </c>
      <c r="J53" s="11" t="n">
        <v>1796</v>
      </c>
      <c r="K53" s="12" t="n">
        <v>2203</v>
      </c>
      <c r="L53" s="10" t="inlineStr">
        <is>
          <t>1 × 250g @ ₹499</t>
        </is>
      </c>
      <c r="M53" s="10" t="inlineStr">
        <is>
          <t>Ready</t>
        </is>
      </c>
    </row>
    <row r="54" ht="36" customHeight="1">
      <c r="A54" s="9" t="n">
        <v>51</v>
      </c>
      <c r="B54" s="10" t="inlineStr">
        <is>
          <t>Gold Elephant Stand</t>
        </is>
      </c>
      <c r="C54" s="11" t="n">
        <v>3999</v>
      </c>
      <c r="D54" s="10" t="inlineStr">
        <is>
          <t>Badam 250g</t>
        </is>
      </c>
      <c r="E54" s="16" t="inlineStr">
        <is>
          <t>Product</t>
        </is>
      </c>
      <c r="F54" s="10" t="inlineStr">
        <is>
          <t>Badam CF</t>
        </is>
      </c>
      <c r="G54" s="10" t="inlineStr">
        <is>
          <t>SK-008</t>
        </is>
      </c>
      <c r="H54" s="10" t="inlineStr">
        <is>
          <t>250g</t>
        </is>
      </c>
      <c r="I54" s="11" t="n">
        <v>399</v>
      </c>
      <c r="J54" s="11" t="n">
        <v>1796</v>
      </c>
      <c r="K54" s="11" t="n">
        <v>2203</v>
      </c>
      <c r="L54" s="10" t="inlineStr">
        <is>
          <t>1 × 250g @ ₹399</t>
        </is>
      </c>
      <c r="M54" s="10" t="inlineStr">
        <is>
          <t>Ready</t>
        </is>
      </c>
    </row>
    <row r="55" ht="36" customHeight="1">
      <c r="A55" s="9" t="n">
        <v>52</v>
      </c>
      <c r="B55" s="10" t="inlineStr">
        <is>
          <t>Gold Elephant Stand</t>
        </is>
      </c>
      <c r="C55" s="11" t="n">
        <v>3999</v>
      </c>
      <c r="D55" s="10" t="inlineStr">
        <is>
          <t>Pista 250g</t>
        </is>
      </c>
      <c r="E55" s="16" t="inlineStr">
        <is>
          <t>Product</t>
        </is>
      </c>
      <c r="F55" s="10" t="inlineStr">
        <is>
          <t>Pista</t>
        </is>
      </c>
      <c r="G55" s="10" t="inlineStr">
        <is>
          <t>SK-014</t>
        </is>
      </c>
      <c r="H55" s="10" t="inlineStr">
        <is>
          <t>250g</t>
        </is>
      </c>
      <c r="I55" s="11" t="n">
        <v>599</v>
      </c>
      <c r="J55" s="11" t="n">
        <v>1796</v>
      </c>
      <c r="K55" s="11" t="n">
        <v>2203</v>
      </c>
      <c r="L55" s="10" t="inlineStr">
        <is>
          <t>1 × 250g @ ₹599</t>
        </is>
      </c>
      <c r="M55" s="10" t="inlineStr">
        <is>
          <t>Ready</t>
        </is>
      </c>
    </row>
    <row r="56" ht="36" customHeight="1">
      <c r="A56" s="9" t="n">
        <v>53</v>
      </c>
      <c r="B56" s="10" t="inlineStr">
        <is>
          <t>Gold Elephant Stand</t>
        </is>
      </c>
      <c r="C56" s="11" t="n">
        <v>3999</v>
      </c>
      <c r="D56" s="10" t="inlineStr">
        <is>
          <t>Kishmish 250g</t>
        </is>
      </c>
      <c r="E56" s="16" t="inlineStr">
        <is>
          <t>Product</t>
        </is>
      </c>
      <c r="F56" s="10" t="inlineStr">
        <is>
          <t>Kishmish Indian</t>
        </is>
      </c>
      <c r="G56" s="10" t="inlineStr">
        <is>
          <t>SK-018</t>
        </is>
      </c>
      <c r="H56" s="10" t="inlineStr">
        <is>
          <t>250g</t>
        </is>
      </c>
      <c r="I56" s="11" t="n">
        <v>299</v>
      </c>
      <c r="J56" s="11" t="n">
        <v>1796</v>
      </c>
      <c r="K56" s="11" t="n">
        <v>2203</v>
      </c>
      <c r="L56" s="10" t="inlineStr">
        <is>
          <t>1 × 250g @ ₹299</t>
        </is>
      </c>
      <c r="M56" s="10" t="inlineStr">
        <is>
          <t>Ready</t>
        </is>
      </c>
    </row>
    <row r="57" ht="36" customHeight="1">
      <c r="A57" s="9" t="n">
        <v>54</v>
      </c>
      <c r="B57" s="10" t="inlineStr">
        <is>
          <t>Gold Elephant Stand</t>
        </is>
      </c>
      <c r="C57" s="11" t="n">
        <v>3999</v>
      </c>
      <c r="D57" s="10" t="inlineStr">
        <is>
          <t>Gold elephant stand</t>
        </is>
      </c>
      <c r="E57" s="17" t="inlineStr">
        <is>
          <t>Packaging / Decorative</t>
        </is>
      </c>
      <c r="F57" s="10" t="inlineStr">
        <is>
          <t>—</t>
        </is>
      </c>
      <c r="G57" s="10" t="inlineStr">
        <is>
          <t>—</t>
        </is>
      </c>
      <c r="H57" s="10" t="inlineStr">
        <is>
          <t>—</t>
        </is>
      </c>
      <c r="I57" s="18" t="n">
        <v>0</v>
      </c>
      <c r="J57" s="11" t="n">
        <v>1796</v>
      </c>
      <c r="K57" s="11" t="n">
        <v>2203</v>
      </c>
      <c r="L57" s="10" t="inlineStr">
        <is>
          <t>Packaging — stand cost is hamper price minus product cost</t>
        </is>
      </c>
      <c r="M57" s="10" t="inlineStr">
        <is>
          <t>Ready</t>
        </is>
      </c>
    </row>
  </sheetData>
  <autoFilter ref="A3:M57"/>
  <mergeCells count="2">
    <mergeCell ref="A2:M2"/>
    <mergeCell ref="A1:M1"/>
  </mergeCells>
  <pageMargins left="0.75" right="0.75" top="1" bottom="1" header="0.5" footer="0.5"/>
  <pageSetup orientation="landscape" paperSize="9" fitToHeight="0" fitToWidth="1"/>
  <headerFooter>
    <oddHeader/>
    <oddFooter>&amp;LSukhmal Dry Fruits Korner&amp;RGift Hampers Master  |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6" customWidth="1" min="4" max="4"/>
    <col width="16" customWidth="1" min="5" max="5"/>
    <col width="16" customWidth="1" min="6" max="6"/>
    <col width="78" customWidth="1" min="7" max="7"/>
  </cols>
  <sheetData>
    <row r="1" ht="30" customHeight="1">
      <c r="A1" s="1" t="inlineStr">
        <is>
          <t>GIFT HAMPERS  —  CATALOG PRICE MAP   |   How generic fill is priced</t>
        </is>
      </c>
    </row>
    <row r="2" ht="48" customHeight="1">
      <c r="A2" s="2" t="inlineStr">
        <is>
          <t>Hamper cards say “Kaju” / “Badam”, not a grade.    Pricing uses the everyday bestseller SKU from Product_Listings_Master.xlsx.    Do not swap in 240/210/180 Kaju, Badam AS, or Kandhari raisins here — those would inflate fill cost and understate the tray.</t>
        </is>
      </c>
    </row>
    <row r="3" ht="34" customHeight="1">
      <c r="A3" s="3" t="inlineStr">
        <is>
          <t>Generic name in hamper</t>
        </is>
      </c>
      <c r="B3" s="3" t="inlineStr">
        <is>
          <t>Catalog product used</t>
        </is>
      </c>
      <c r="C3" s="3" t="inlineStr">
        <is>
          <t>SKU</t>
        </is>
      </c>
      <c r="D3" s="3" t="inlineStr">
        <is>
          <t>Price 250g (Rs.)</t>
        </is>
      </c>
      <c r="E3" s="3" t="inlineStr">
        <is>
          <t>Price 500g (Rs.)</t>
        </is>
      </c>
      <c r="F3" s="3" t="inlineStr">
        <is>
          <t>Price 1 Kg (Rs.)</t>
        </is>
      </c>
      <c r="G3" s="3" t="inlineStr">
        <is>
          <t>Why this SKU</t>
        </is>
      </c>
    </row>
    <row r="4" ht="36" customHeight="1">
      <c r="A4" s="4" t="inlineStr">
        <is>
          <t>Kaju / Cashew</t>
        </is>
      </c>
      <c r="B4" s="5" t="inlineStr">
        <is>
          <t>Kaju 320 N</t>
        </is>
      </c>
      <c r="C4" s="5" t="inlineStr">
        <is>
          <t>SK-001</t>
        </is>
      </c>
      <c r="D4" s="6" t="n">
        <v>499</v>
      </c>
      <c r="E4" s="6" t="n">
        <v>999</v>
      </c>
      <c r="F4" s="6" t="n">
        <v>1899</v>
      </c>
      <c r="G4" s="5" t="inlineStr">
        <is>
          <t>Everyday whole cashew (bestseller SK-001). Hamper cards do not specify 240/210/180.</t>
        </is>
      </c>
    </row>
    <row r="5" ht="36" customHeight="1">
      <c r="A5" s="9" t="inlineStr">
        <is>
          <t>Badam / Almond</t>
        </is>
      </c>
      <c r="B5" s="10" t="inlineStr">
        <is>
          <t>Badam CF</t>
        </is>
      </c>
      <c r="C5" s="10" t="inlineStr">
        <is>
          <t>SK-008</t>
        </is>
      </c>
      <c r="D5" s="11" t="n">
        <v>399</v>
      </c>
      <c r="E5" s="11" t="n">
        <v>799</v>
      </c>
      <c r="F5" s="11" t="n">
        <v>1599</v>
      </c>
      <c r="G5" s="10" t="inlineStr">
        <is>
          <t>Everyday California almond (bestseller SK-008). Hamper cards say Badam / Almond, not AS or Mamra.</t>
        </is>
      </c>
    </row>
    <row r="6" ht="36" customHeight="1">
      <c r="A6" s="4" t="inlineStr">
        <is>
          <t>Pista / Pistachio</t>
        </is>
      </c>
      <c r="B6" s="5" t="inlineStr">
        <is>
          <t>Pista</t>
        </is>
      </c>
      <c r="C6" s="5" t="inlineStr">
        <is>
          <t>SK-014</t>
        </is>
      </c>
      <c r="D6" s="6" t="n">
        <v>599</v>
      </c>
      <c r="E6" s="6" t="n">
        <v>1099</v>
      </c>
      <c r="F6" s="6" t="n">
        <v>2199</v>
      </c>
      <c r="G6" s="5" t="inlineStr">
        <is>
          <t>Everyday roasted in-shell pista (bestseller SK-014).</t>
        </is>
      </c>
    </row>
    <row r="7" ht="36" customHeight="1">
      <c r="A7" s="9" t="inlineStr">
        <is>
          <t>Kishmish / Raisins</t>
        </is>
      </c>
      <c r="B7" s="10" t="inlineStr">
        <is>
          <t>Kishmish Indian</t>
        </is>
      </c>
      <c r="C7" s="10" t="inlineStr">
        <is>
          <t>SK-018</t>
        </is>
      </c>
      <c r="D7" s="11" t="n">
        <v>299</v>
      </c>
      <c r="E7" s="11" t="n">
        <v>599</v>
      </c>
      <c r="F7" s="11" t="n">
        <v>1199</v>
      </c>
      <c r="G7" s="10" t="inlineStr">
        <is>
          <t>Everyday seedless raisins (SK-018). “Raisins” and “Kishmish” on hamper cards map here, not Kandhari.</t>
        </is>
      </c>
    </row>
    <row r="8" ht="36" customHeight="1">
      <c r="A8" s="4" t="inlineStr">
        <is>
          <t>Walnut / Akhrot</t>
        </is>
      </c>
      <c r="B8" s="5" t="inlineStr">
        <is>
          <t>Walnut Premium</t>
        </is>
      </c>
      <c r="C8" s="5" t="inlineStr">
        <is>
          <t>SK-028</t>
        </is>
      </c>
      <c r="D8" s="6" t="n">
        <v>999</v>
      </c>
      <c r="E8" s="6" t="n">
        <v>1999</v>
      </c>
      <c r="F8" s="6" t="n">
        <v>3999</v>
      </c>
      <c r="G8" s="5" t="inlineStr">
        <is>
          <t>Gifting-grade shelled akhrot (bestseller SK-028).</t>
        </is>
      </c>
    </row>
    <row r="9" ht="36" customHeight="1">
      <c r="A9" s="9" t="inlineStr">
        <is>
          <t>Apricot</t>
        </is>
      </c>
      <c r="B9" s="10" t="inlineStr">
        <is>
          <t>Khubani (Apricot)</t>
        </is>
      </c>
      <c r="C9" s="10" t="inlineStr">
        <is>
          <t>SK-039</t>
        </is>
      </c>
      <c r="D9" s="11" t="n">
        <v>499</v>
      </c>
      <c r="E9" s="11" t="n">
        <v>999</v>
      </c>
      <c r="F9" s="11" t="n">
        <v>1899</v>
      </c>
      <c r="G9" s="10" t="inlineStr">
        <is>
          <t>Only apricot SKU in the catalog (SK-039).</t>
        </is>
      </c>
    </row>
    <row r="10" ht="36" customHeight="1">
      <c r="A10" s="4" t="inlineStr">
        <is>
          <t>Mix Seeds</t>
        </is>
      </c>
      <c r="B10" s="5" t="inlineStr">
        <is>
          <t>Mix Seeds</t>
        </is>
      </c>
      <c r="C10" s="5" t="inlineStr">
        <is>
          <t>SK-040</t>
        </is>
      </c>
      <c r="D10" s="6" t="n">
        <v>399</v>
      </c>
      <c r="E10" s="6" t="n">
        <v>799</v>
      </c>
      <c r="F10" s="6" t="n">
        <v>1599</v>
      </c>
      <c r="G10" s="5" t="inlineStr">
        <is>
          <t>Only mixed-seed SKU in the catalog (SK-040).</t>
        </is>
      </c>
    </row>
    <row r="11" ht="36" customHeight="1">
      <c r="A11" s="9" t="inlineStr">
        <is>
          <t>Roasted Namkeen</t>
        </is>
      </c>
      <c r="B11" s="10" t="inlineStr">
        <is>
          <t>Roasted Namkeen</t>
        </is>
      </c>
      <c r="C11" s="10" t="inlineStr">
        <is>
          <t>SK-071</t>
        </is>
      </c>
      <c r="D11" s="11" t="n">
        <v>399</v>
      </c>
      <c r="E11" s="11" t="n">
        <v>699</v>
      </c>
      <c r="F11" s="11" t="n">
        <v>1399</v>
      </c>
      <c r="G11" s="10" t="inlineStr">
        <is>
          <t>Only roasted namkeen SKU in the catalog (SK-071).</t>
        </is>
      </c>
    </row>
    <row r="13" ht="96" customHeight="1">
      <c r="A13" s="19" t="inlineStr">
        <is>
          <t>WEIGHT RULES
• 250g / 500g / 1kg use the listed pack price exactly.
• Odd weights use full listed packs first, then pro-rate leftover grams from the 250g pack (350g Badam = 250g pack + 100g pro-rated; 700g namkeen = 500g pack + 200g pro-rated; 750g namkeen = 500g pack + 250g pack).
• Pearl Namkeen “3 boxes” is not a catalog pack: net hamper weight 2.2 kg − 1.5 kg nuts = 700g namkeen.
• Pink Tulle lists “Roasted Namkeen” with no weight: net 1.5 kg − 1.25 kg nuts = 250g namkeen.
• Ganesh ji and diya are not catalog SKUs; they sit inside the box cost.</t>
        </is>
      </c>
    </row>
    <row r="14"/>
    <row r="15"/>
    <row r="16"/>
  </sheetData>
  <mergeCells count="3">
    <mergeCell ref="A13:G16"/>
    <mergeCell ref="A2:G2"/>
    <mergeCell ref="A1:G1"/>
  </mergeCells>
  <pageMargins left="0.75" right="0.75" top="1" bottom="1" header="0.5" footer="0.5"/>
  <pageSetup orientation="landscape" paperSize="9" fitToHeight="0" fitToWidth="1"/>
  <headerFooter>
    <oddHeader/>
    <oddFooter>&amp;LSukhmal Dry Fruits Korner&amp;RGift Hampers Master  |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2026-08-19T02:52:47Z</dcterms:created>
  <dcterms:modified xmlns:dcterms="http://purl.org/dc/terms/" xmlns:xsi="http://www.w3.org/2001/XMLSchema-instance" xsi:type="dcterms:W3CDTF">2026-08-19T02:52:47Z</dcterms:modified>
</cp:coreProperties>
</file>